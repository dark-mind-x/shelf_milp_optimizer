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4ed6da1ed7daae/Desktop/MILP/"/>
    </mc:Choice>
  </mc:AlternateContent>
  <xr:revisionPtr revIDLastSave="0" documentId="8_{390EB72E-1209-42BC-90DA-7C7833C8620E}" xr6:coauthVersionLast="47" xr6:coauthVersionMax="47" xr10:uidLastSave="{00000000-0000-0000-0000-000000000000}"/>
  <bookViews>
    <workbookView xWindow="-110" yWindow="-110" windowWidth="19420" windowHeight="10300" xr2:uid="{5413EAC9-85F3-40C6-9EED-2C165B40C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55" i="1" l="1"/>
  <c r="AA53" i="1"/>
  <c r="AA52" i="1"/>
  <c r="AC51" i="1"/>
  <c r="AA51" i="1"/>
  <c r="AC50" i="1"/>
  <c r="AA50" i="1"/>
  <c r="AA49" i="1"/>
  <c r="AC49" i="1" s="1"/>
  <c r="AC48" i="1"/>
  <c r="AA48" i="1"/>
  <c r="AA47" i="1"/>
  <c r="AC47" i="1" s="1"/>
  <c r="AC46" i="1"/>
  <c r="AA46" i="1"/>
  <c r="AC45" i="1"/>
  <c r="AA45" i="1"/>
  <c r="AC44" i="1"/>
  <c r="AA44" i="1"/>
  <c r="AA43" i="1"/>
  <c r="AC43" i="1" s="1"/>
  <c r="AC42" i="1"/>
  <c r="AA42" i="1"/>
  <c r="AC41" i="1"/>
  <c r="AA41" i="1"/>
  <c r="AC40" i="1"/>
  <c r="AA40" i="1"/>
  <c r="AA39" i="1"/>
  <c r="AC39" i="1" s="1"/>
  <c r="AC38" i="1"/>
  <c r="AA38" i="1"/>
  <c r="AC37" i="1"/>
  <c r="AA37" i="1"/>
  <c r="AC36" i="1"/>
  <c r="AA36" i="1"/>
  <c r="AA35" i="1"/>
  <c r="AC35" i="1" s="1"/>
  <c r="AC34" i="1"/>
  <c r="AA34" i="1"/>
  <c r="AC33" i="1"/>
  <c r="AA33" i="1"/>
  <c r="AC32" i="1"/>
  <c r="AA32" i="1"/>
  <c r="AA31" i="1"/>
  <c r="AC31" i="1" s="1"/>
  <c r="AC30" i="1"/>
  <c r="AA30" i="1"/>
  <c r="AC29" i="1"/>
  <c r="AA29" i="1"/>
  <c r="AC28" i="1"/>
  <c r="AA28" i="1"/>
  <c r="AA27" i="1"/>
  <c r="AC27" i="1" s="1"/>
  <c r="AC26" i="1"/>
  <c r="AA26" i="1"/>
  <c r="AC25" i="1"/>
  <c r="AA25" i="1"/>
  <c r="AC24" i="1"/>
  <c r="AA24" i="1"/>
  <c r="AA23" i="1"/>
  <c r="AC23" i="1" s="1"/>
  <c r="AC22" i="1"/>
  <c r="AA22" i="1"/>
  <c r="AC21" i="1"/>
  <c r="AA21" i="1"/>
  <c r="AC20" i="1"/>
  <c r="AA20" i="1"/>
  <c r="AA19" i="1"/>
  <c r="AC19" i="1" s="1"/>
  <c r="AC18" i="1"/>
  <c r="AA18" i="1"/>
  <c r="AC17" i="1"/>
  <c r="AA17" i="1"/>
  <c r="AC16" i="1"/>
  <c r="AA16" i="1"/>
  <c r="AA15" i="1"/>
  <c r="AC15" i="1" s="1"/>
  <c r="AC14" i="1"/>
  <c r="AA14" i="1"/>
  <c r="AC13" i="1"/>
  <c r="AA13" i="1"/>
  <c r="AC12" i="1"/>
  <c r="AA12" i="1"/>
  <c r="AA11" i="1"/>
  <c r="AC11" i="1" s="1"/>
  <c r="AC10" i="1"/>
  <c r="AA10" i="1"/>
  <c r="AC9" i="1"/>
  <c r="AA9" i="1"/>
  <c r="AC8" i="1"/>
  <c r="AA8" i="1"/>
  <c r="AA7" i="1"/>
  <c r="AC7" i="1" s="1"/>
  <c r="AC6" i="1"/>
  <c r="AA6" i="1"/>
  <c r="AC5" i="1"/>
  <c r="AA5" i="1"/>
  <c r="AC4" i="1"/>
  <c r="AA4" i="1"/>
  <c r="AA3" i="1"/>
  <c r="AC3" i="1" s="1"/>
  <c r="AC2" i="1"/>
  <c r="AA2" i="1"/>
</calcChain>
</file>

<file path=xl/sharedStrings.xml><?xml version="1.0" encoding="utf-8"?>
<sst xmlns="http://schemas.openxmlformats.org/spreadsheetml/2006/main" count="489" uniqueCount="210">
  <si>
    <t>Product Id</t>
  </si>
  <si>
    <t>Product name</t>
  </si>
  <si>
    <t xml:space="preserve">Current product location </t>
  </si>
  <si>
    <t>Product placed.</t>
  </si>
  <si>
    <t xml:space="preserve">category </t>
  </si>
  <si>
    <t>display mode</t>
  </si>
  <si>
    <t>unit weight</t>
  </si>
  <si>
    <t>unit margin</t>
  </si>
  <si>
    <t>facing width</t>
  </si>
  <si>
    <t>facing depth</t>
  </si>
  <si>
    <t>folded thickness</t>
  </si>
  <si>
    <t>hanger pitch</t>
  </si>
  <si>
    <t>Product length</t>
  </si>
  <si>
    <t>shelf height</t>
  </si>
  <si>
    <t>bulky item</t>
  </si>
  <si>
    <t>Min Facing</t>
  </si>
  <si>
    <t>Max facings</t>
  </si>
  <si>
    <t>Current facings</t>
  </si>
  <si>
    <t>Mini garment display</t>
  </si>
  <si>
    <t>Occupied width=Facing width X current facing/mini garment display</t>
  </si>
  <si>
    <t>Occupied width (cm)</t>
  </si>
  <si>
    <t>Shelf Width</t>
  </si>
  <si>
    <t xml:space="preserve">Shelf Utilization </t>
  </si>
  <si>
    <t xml:space="preserve">Current facings </t>
  </si>
  <si>
    <t>Garment display by retailer</t>
  </si>
  <si>
    <t xml:space="preserve">Total garemnts on shelf </t>
  </si>
  <si>
    <t>Unit margin</t>
  </si>
  <si>
    <t>Total Profit</t>
  </si>
  <si>
    <t>Garment per facings intact</t>
  </si>
  <si>
    <t>P001</t>
  </si>
  <si>
    <t>White Cotton Tee</t>
  </si>
  <si>
    <t>S1R1</t>
  </si>
  <si>
    <t>P001,P030, P055</t>
  </si>
  <si>
    <t>Tops</t>
  </si>
  <si>
    <t>Folded</t>
  </si>
  <si>
    <t>Medium</t>
  </si>
  <si>
    <t>(25×2) + (22×2) = 50 + 44 =94</t>
  </si>
  <si>
    <t>P002</t>
  </si>
  <si>
    <t>Slim Blue Jeans</t>
  </si>
  <si>
    <t>S2R1</t>
  </si>
  <si>
    <t>P002, P031</t>
  </si>
  <si>
    <t>Denim</t>
  </si>
  <si>
    <t>High</t>
  </si>
  <si>
    <t>(30×3) + (22×2) = 90 + 44 = 134 cm</t>
  </si>
  <si>
    <t>P003</t>
  </si>
  <si>
    <t>Casual Cotton Shirt</t>
  </si>
  <si>
    <t>S2R2</t>
  </si>
  <si>
    <t>P003, P015, P034</t>
  </si>
  <si>
    <t>Shirts</t>
  </si>
  <si>
    <t>(34×2) + (30×2) + (23×2) = 68 + 60 + 46 = 174 cm</t>
  </si>
  <si>
    <t>174cm</t>
  </si>
  <si>
    <t>P004</t>
  </si>
  <si>
    <t>Floral Summer Dress</t>
  </si>
  <si>
    <t>S3R2</t>
  </si>
  <si>
    <t>P004, P023, P038, P043</t>
  </si>
  <si>
    <t>Dresses</t>
  </si>
  <si>
    <t>Hanging</t>
  </si>
  <si>
    <t xml:space="preserve">8x2 </t>
  </si>
  <si>
    <t>P005</t>
  </si>
  <si>
    <t>Blue Shorts</t>
  </si>
  <si>
    <t>S1R3</t>
  </si>
  <si>
    <t>P005, P021, P035</t>
  </si>
  <si>
    <t>Bottoms</t>
  </si>
  <si>
    <t>(26×3) + (33×4) + (24×3) = 78 + 132 + 72 = 282 cm</t>
  </si>
  <si>
    <t>P006</t>
  </si>
  <si>
    <t>Linen Shirt</t>
  </si>
  <si>
    <t>S2R3</t>
  </si>
  <si>
    <t>P006, P016, P022</t>
  </si>
  <si>
    <t>(32×2) + (30×2) + (32×2)= 188CM</t>
  </si>
  <si>
    <t>188cm</t>
  </si>
  <si>
    <t>Ethnic</t>
  </si>
  <si>
    <t>P007</t>
  </si>
  <si>
    <t>Knit Polo</t>
  </si>
  <si>
    <t>S1R2</t>
  </si>
  <si>
    <t>P007, P019, P020, P033</t>
  </si>
  <si>
    <t>(26×3) + (32×2) + (34×3) + (22×4) = 78 + 64 + 102 + 88 = 332 cm</t>
  </si>
  <si>
    <t>Outerwear</t>
  </si>
  <si>
    <t>P008</t>
  </si>
  <si>
    <t>Crop Denim Jacket</t>
  </si>
  <si>
    <t>S3R1</t>
  </si>
  <si>
    <t>P008, P017, P036, P042</t>
  </si>
  <si>
    <t>Low</t>
  </si>
  <si>
    <t>10x2</t>
  </si>
  <si>
    <t>P009</t>
  </si>
  <si>
    <t>Casual Summer Dress</t>
  </si>
  <si>
    <t>S3R3</t>
  </si>
  <si>
    <t>P009, P024, P037,P039, P044</t>
  </si>
  <si>
    <t>8x2</t>
  </si>
  <si>
    <t>P010</t>
  </si>
  <si>
    <t>Ribbed Crop Top</t>
  </si>
  <si>
    <t>S1R4</t>
  </si>
  <si>
    <t>P010, P026, P047,P051</t>
  </si>
  <si>
    <t>(24×3) + (23×3) + (32×3) = 72 + 69 + 96 = 237 cm</t>
  </si>
  <si>
    <t>P011</t>
  </si>
  <si>
    <t>Printed Tunic</t>
  </si>
  <si>
    <t>S3R4</t>
  </si>
  <si>
    <t>P011, P025, P040, P045</t>
  </si>
  <si>
    <t>P012</t>
  </si>
  <si>
    <t>Palazzo Pants</t>
  </si>
  <si>
    <t>S2R4</t>
  </si>
  <si>
    <t>P012, P027, P048,P052</t>
  </si>
  <si>
    <t>(28×2) + (22×4) + (28×4) = 56 + 88 + 112 = 256 cm</t>
  </si>
  <si>
    <t>P013</t>
  </si>
  <si>
    <t>Kurti</t>
  </si>
  <si>
    <t>S3R5</t>
  </si>
  <si>
    <t>P013, P032, P041, P046</t>
  </si>
  <si>
    <t>P014</t>
  </si>
  <si>
    <t>Sleeveless Top</t>
  </si>
  <si>
    <t>S2R5</t>
  </si>
  <si>
    <t>P014, P029, P050,P054</t>
  </si>
  <si>
    <t>(24×3) + (20×3) + (32×3) = 72 + 60 + 96 = 228 cm</t>
  </si>
  <si>
    <t>P015</t>
  </si>
  <si>
    <t>Denim Skirt</t>
  </si>
  <si>
    <t xml:space="preserve">(34×2) + (30×2) + (23×2) = 68 + 60 + 46 = 174 cm </t>
  </si>
  <si>
    <t>P016</t>
  </si>
  <si>
    <t>Cotton Culottes</t>
  </si>
  <si>
    <t>P017</t>
  </si>
  <si>
    <t>Lightweight Blazer</t>
  </si>
  <si>
    <t>10x1</t>
  </si>
  <si>
    <t>P018</t>
  </si>
  <si>
    <t>Embroidered Top</t>
  </si>
  <si>
    <t>S1R5</t>
  </si>
  <si>
    <t>P018, P028, P049,P053</t>
  </si>
  <si>
    <t>(28×2) + (24×2) + (32×2) = 56 + 48 + 64 = 168 cm</t>
  </si>
  <si>
    <t>P019</t>
  </si>
  <si>
    <t>Straight Fit Denim Jeans</t>
  </si>
  <si>
    <t>(26×3) + (32×2) + (34×3) + (22×4) = 78 + 64 + 102 + 88 = 332 cm (REPEAT)</t>
  </si>
  <si>
    <t>P020</t>
  </si>
  <si>
    <t>Relaxed Fit Cargo Pants</t>
  </si>
  <si>
    <t>P021</t>
  </si>
  <si>
    <t>Cotton Chino Trousers</t>
  </si>
  <si>
    <t>(26×3) + (33×4) + (24×3) = 78 + 132 + 72 = 282 cm (REPEAT)</t>
  </si>
  <si>
    <t>P022</t>
  </si>
  <si>
    <t>Pleated Wide-Leg Trousers</t>
  </si>
  <si>
    <t>P023</t>
  </si>
  <si>
    <t>Denim Mini Skirt</t>
  </si>
  <si>
    <t>10x3</t>
  </si>
  <si>
    <t>P024</t>
  </si>
  <si>
    <t>Pencil Midi Skirt</t>
  </si>
  <si>
    <t>12x4</t>
  </si>
  <si>
    <t>P025</t>
  </si>
  <si>
    <t>Printed Wrap Skirt</t>
  </si>
  <si>
    <t>12x2</t>
  </si>
  <si>
    <t>P026</t>
  </si>
  <si>
    <t>Basic Crew Neck T-Shirt</t>
  </si>
  <si>
    <t>(24×3) + (23×3) + (32×3) = 72 + 69 + 96 = 237 cm (Repeat)</t>
  </si>
  <si>
    <t>P027</t>
  </si>
  <si>
    <t>Graphic Cotton T-Shirt</t>
  </si>
  <si>
    <t>P028</t>
  </si>
  <si>
    <t>Oversized Cotton Shirt</t>
  </si>
  <si>
    <t>P029</t>
  </si>
  <si>
    <t>Satin Button-Down Shirt</t>
  </si>
  <si>
    <t>P030</t>
  </si>
  <si>
    <t>Tie-Front Crop Shirt</t>
  </si>
  <si>
    <t>(25×2) + (22×2) = 50 + 44 =94 (REPEAT)</t>
  </si>
  <si>
    <t>P031</t>
  </si>
  <si>
    <t>Puff Sleeve Blouse</t>
  </si>
  <si>
    <t xml:space="preserve">(30×3) + (22×2) = 90 + 44 = 134 cm </t>
  </si>
  <si>
    <t>P032</t>
  </si>
  <si>
    <t>Off-Shoulder Top</t>
  </si>
  <si>
    <t>8x3</t>
  </si>
  <si>
    <t>P033</t>
  </si>
  <si>
    <t>Square Neck Top</t>
  </si>
  <si>
    <t>P034</t>
  </si>
  <si>
    <t>Peasant Blouse</t>
  </si>
  <si>
    <t>P035</t>
  </si>
  <si>
    <t>Smocked Crop Top</t>
  </si>
  <si>
    <t>P036</t>
  </si>
  <si>
    <t>Wrap Style Top</t>
  </si>
  <si>
    <t>8x4</t>
  </si>
  <si>
    <t>P037</t>
  </si>
  <si>
    <t>One-Shoulder Top</t>
  </si>
  <si>
    <t>P038</t>
  </si>
  <si>
    <t>Halter Neck Top</t>
  </si>
  <si>
    <t>P039</t>
  </si>
  <si>
    <t>Shirt Style Midi Dress</t>
  </si>
  <si>
    <t>10x4</t>
  </si>
  <si>
    <t>P040</t>
  </si>
  <si>
    <t>Floral Wrap Maxi Dress</t>
  </si>
  <si>
    <t>P041</t>
  </si>
  <si>
    <t>Bodycon Midi Dress</t>
  </si>
  <si>
    <t>P042</t>
  </si>
  <si>
    <t>Tiered Midi Dress</t>
  </si>
  <si>
    <t>P043</t>
  </si>
  <si>
    <t>Denim Shirt Dress</t>
  </si>
  <si>
    <t>P044</t>
  </si>
  <si>
    <t>Belted A-Line Dress</t>
  </si>
  <si>
    <t>9x3</t>
  </si>
  <si>
    <t>P045</t>
  </si>
  <si>
    <t>Casual Jumpsuit</t>
  </si>
  <si>
    <t>P046</t>
  </si>
  <si>
    <t>Sleeveless Jumpsuit</t>
  </si>
  <si>
    <t>P047</t>
  </si>
  <si>
    <t>Wide-Leg Culottes</t>
  </si>
  <si>
    <t>P048</t>
  </si>
  <si>
    <t>High-Waist Jeggings</t>
  </si>
  <si>
    <t>(28×2) + (22×4) + (28×4) = 56 + 88 + 112 = 256 cm (REPEAT)</t>
  </si>
  <si>
    <t>P049</t>
  </si>
  <si>
    <t>Slim Fit Capri Pants</t>
  </si>
  <si>
    <t>P050</t>
  </si>
  <si>
    <t>Cropped Straight Pants</t>
  </si>
  <si>
    <t>P051</t>
  </si>
  <si>
    <t>P052</t>
  </si>
  <si>
    <t>Product repeat</t>
  </si>
  <si>
    <t>Repeat Product</t>
  </si>
  <si>
    <t>P053</t>
  </si>
  <si>
    <t>(28×2) + (24×2) + (32×2) = 56 + 48 + 64 = 168 cm(REPEAT PRODUCT)</t>
  </si>
  <si>
    <t>P054</t>
  </si>
  <si>
    <t>P055</t>
  </si>
  <si>
    <t xml:space="preserve">Before Optimization profit 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</si>
</sst>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theme="1"/>
      <name val="Carlito"/>
    </font>
    <font>
      <b/>
      <sz val="11"/>
      <name val="Carlito"/>
    </font>
    <font>
      <b/>
      <sz val="11"/>
      <color rgb="FFFF0000"/>
      <name val="Calibri"/>
      <family val="2"/>
      <scheme val="minor"/>
    </font>
    <font>
      <b/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0" fontId="1" fillId="2" borderId="1" xfId="0" applyFont="1" applyFill="1" applyBorder="1" applyAlignment="1">
      <alignment wrapText="1"/>
    </xf>
    <xf numFmtId="10" fontId="2" fillId="0" borderId="0" xfId="0" applyNumberFormat="1" applyFont="1" applyAlignment="1">
      <alignment wrapText="1"/>
    </xf>
    <xf numFmtId="0" fontId="0" fillId="3" borderId="0" xfId="0" applyFill="1" applyAlignment="1">
      <alignment wrapText="1"/>
    </xf>
    <xf numFmtId="0" fontId="1" fillId="0" borderId="1" xfId="0" applyFont="1" applyBorder="1" applyAlignment="1">
      <alignment wrapText="1"/>
    </xf>
    <xf numFmtId="9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9" fontId="0" fillId="0" borderId="0" xfId="0" applyNumberFormat="1"/>
    <xf numFmtId="0" fontId="0" fillId="3" borderId="0" xfId="0" applyFill="1"/>
    <xf numFmtId="0" fontId="0" fillId="0" borderId="0" xfId="0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C5B906A-5D2B-43BB-BFA6-C7A414CC5C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F3CA-F673-4E2D-998B-078A714D10F7}">
  <dimension ref="A1:AH68"/>
  <sheetViews>
    <sheetView tabSelected="1" workbookViewId="0">
      <selection activeCell="AD56" sqref="AD56"/>
    </sheetView>
  </sheetViews>
  <sheetFormatPr defaultRowHeight="14.5"/>
  <cols>
    <col min="1" max="1" width="14.81640625" customWidth="1"/>
    <col min="2" max="2" width="20.7265625" customWidth="1"/>
    <col min="3" max="3" width="16" customWidth="1"/>
    <col min="4" max="4" width="24.90625" customWidth="1"/>
    <col min="5" max="5" width="8.90625" customWidth="1"/>
    <col min="6" max="6" width="11.08984375" customWidth="1"/>
    <col min="8" max="8" width="14.26953125" customWidth="1"/>
    <col min="13" max="13" width="9.7265625" customWidth="1"/>
    <col min="16" max="16" width="11.6328125" customWidth="1"/>
    <col min="17" max="17" width="10.08984375" customWidth="1"/>
    <col min="18" max="18" width="11.6328125" style="10" customWidth="1"/>
    <col min="21" max="21" width="73" customWidth="1"/>
    <col min="22" max="22" width="19" customWidth="1"/>
    <col min="23" max="23" width="15" customWidth="1"/>
    <col min="24" max="24" width="23.90625" customWidth="1"/>
    <col min="25" max="25" width="8.7265625" style="10"/>
    <col min="29" max="29" width="10.6328125" customWidth="1"/>
    <col min="33" max="33" width="37.26953125" customWidth="1"/>
  </cols>
  <sheetData>
    <row r="1" spans="1:34" ht="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/>
      <c r="U1" s="1" t="s">
        <v>19</v>
      </c>
      <c r="V1" s="1" t="s">
        <v>20</v>
      </c>
      <c r="W1" s="1" t="s">
        <v>21</v>
      </c>
      <c r="X1" s="1" t="s">
        <v>22</v>
      </c>
      <c r="Y1" s="5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G1" t="s">
        <v>28</v>
      </c>
    </row>
    <row r="2" spans="1:34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>
        <v>0.18</v>
      </c>
      <c r="H2" s="1">
        <v>450</v>
      </c>
      <c r="I2" s="1">
        <v>25</v>
      </c>
      <c r="J2" s="1">
        <v>30</v>
      </c>
      <c r="K2" s="1">
        <v>1</v>
      </c>
      <c r="L2" s="1">
        <v>0</v>
      </c>
      <c r="M2" s="1"/>
      <c r="N2" s="1">
        <v>25</v>
      </c>
      <c r="O2" s="1">
        <v>0</v>
      </c>
      <c r="P2" s="1">
        <v>2</v>
      </c>
      <c r="Q2" s="1">
        <v>5</v>
      </c>
      <c r="R2" s="5">
        <v>3</v>
      </c>
      <c r="S2" s="1">
        <v>2</v>
      </c>
      <c r="T2" s="1" t="s">
        <v>35</v>
      </c>
      <c r="U2" s="1" t="s">
        <v>36</v>
      </c>
      <c r="V2" s="1">
        <v>94</v>
      </c>
      <c r="W2" s="1">
        <v>180</v>
      </c>
      <c r="X2" s="2">
        <v>0.52329999999999999</v>
      </c>
      <c r="Y2" s="5">
        <v>3</v>
      </c>
      <c r="Z2" s="1">
        <v>3</v>
      </c>
      <c r="AA2" s="1">
        <f>Y2*Z2</f>
        <v>9</v>
      </c>
      <c r="AB2" s="1">
        <v>450</v>
      </c>
      <c r="AC2" s="1">
        <f>AA2*AB2</f>
        <v>4050</v>
      </c>
      <c r="AG2" s="3" t="s">
        <v>33</v>
      </c>
      <c r="AH2">
        <v>6</v>
      </c>
    </row>
    <row r="3" spans="1:34" ht="14" customHeight="1">
      <c r="A3" s="1" t="s">
        <v>37</v>
      </c>
      <c r="B3" s="1" t="s">
        <v>38</v>
      </c>
      <c r="C3" s="1" t="s">
        <v>39</v>
      </c>
      <c r="D3" t="s">
        <v>40</v>
      </c>
      <c r="E3" s="1" t="s">
        <v>41</v>
      </c>
      <c r="F3" s="1" t="s">
        <v>34</v>
      </c>
      <c r="G3" s="1">
        <v>0.57999999999999996</v>
      </c>
      <c r="H3" s="1">
        <v>1200</v>
      </c>
      <c r="I3" s="1">
        <v>25</v>
      </c>
      <c r="J3" s="1">
        <v>34</v>
      </c>
      <c r="K3" s="1">
        <v>4</v>
      </c>
      <c r="L3" s="1">
        <v>0</v>
      </c>
      <c r="M3" s="1"/>
      <c r="N3" s="1">
        <v>28</v>
      </c>
      <c r="O3" s="1">
        <v>1</v>
      </c>
      <c r="P3" s="1">
        <v>2</v>
      </c>
      <c r="Q3" s="1">
        <v>4</v>
      </c>
      <c r="R3" s="5">
        <v>3</v>
      </c>
      <c r="S3" s="1">
        <v>2</v>
      </c>
      <c r="T3" s="1" t="s">
        <v>42</v>
      </c>
      <c r="U3" t="s">
        <v>43</v>
      </c>
      <c r="V3" s="1">
        <v>134</v>
      </c>
      <c r="W3" s="1">
        <v>180</v>
      </c>
      <c r="X3" s="4">
        <v>0.74439999999999995</v>
      </c>
      <c r="Y3" s="5">
        <v>3</v>
      </c>
      <c r="Z3" s="11">
        <v>3</v>
      </c>
      <c r="AA3" s="11">
        <f t="shared" ref="AA3:AA55" si="0">Y3*Z3</f>
        <v>9</v>
      </c>
      <c r="AB3" s="11">
        <v>1200</v>
      </c>
      <c r="AC3" s="11">
        <f t="shared" ref="AC3:AC51" si="1">AA3*AB3</f>
        <v>10800</v>
      </c>
      <c r="AD3" s="11"/>
      <c r="AG3" s="6" t="s">
        <v>41</v>
      </c>
      <c r="AH3">
        <v>4</v>
      </c>
    </row>
    <row r="4" spans="1:34" ht="14" customHeight="1">
      <c r="A4" s="1" t="s">
        <v>44</v>
      </c>
      <c r="B4" s="1" t="s">
        <v>45</v>
      </c>
      <c r="C4" s="1" t="s">
        <v>46</v>
      </c>
      <c r="D4" t="s">
        <v>47</v>
      </c>
      <c r="E4" s="1" t="s">
        <v>48</v>
      </c>
      <c r="F4" s="1" t="s">
        <v>34</v>
      </c>
      <c r="G4" s="1">
        <v>0.28000000000000003</v>
      </c>
      <c r="H4" s="1">
        <v>600</v>
      </c>
      <c r="I4" s="1">
        <v>34</v>
      </c>
      <c r="J4" s="1">
        <v>32</v>
      </c>
      <c r="K4" s="1">
        <v>3</v>
      </c>
      <c r="L4" s="1">
        <v>0</v>
      </c>
      <c r="M4" s="1"/>
      <c r="N4" s="1">
        <v>25</v>
      </c>
      <c r="O4" s="1">
        <v>1</v>
      </c>
      <c r="P4" s="1">
        <v>2</v>
      </c>
      <c r="Q4" s="1">
        <v>4</v>
      </c>
      <c r="R4" s="5">
        <v>2</v>
      </c>
      <c r="S4" s="1">
        <v>2</v>
      </c>
      <c r="T4" s="1" t="s">
        <v>35</v>
      </c>
      <c r="U4" t="s">
        <v>49</v>
      </c>
      <c r="V4" s="7" t="s">
        <v>50</v>
      </c>
      <c r="W4" s="1">
        <v>170</v>
      </c>
      <c r="X4" s="8">
        <v>1.0235000000000001</v>
      </c>
      <c r="Y4" s="5">
        <v>2</v>
      </c>
      <c r="Z4" s="1">
        <v>2</v>
      </c>
      <c r="AA4" s="1">
        <f t="shared" si="0"/>
        <v>4</v>
      </c>
      <c r="AB4" s="1">
        <v>600</v>
      </c>
      <c r="AC4" s="1">
        <f t="shared" si="1"/>
        <v>2400</v>
      </c>
      <c r="AG4" s="3" t="s">
        <v>48</v>
      </c>
      <c r="AH4">
        <v>5</v>
      </c>
    </row>
    <row r="5" spans="1:34" ht="14" customHeight="1">
      <c r="A5" s="1" t="s">
        <v>51</v>
      </c>
      <c r="B5" s="1" t="s">
        <v>52</v>
      </c>
      <c r="C5" s="1" t="s">
        <v>53</v>
      </c>
      <c r="D5" t="s">
        <v>54</v>
      </c>
      <c r="E5" s="1" t="s">
        <v>55</v>
      </c>
      <c r="F5" s="1" t="s">
        <v>56</v>
      </c>
      <c r="G5" s="1">
        <v>0.41</v>
      </c>
      <c r="H5" s="1">
        <v>850</v>
      </c>
      <c r="I5" s="1">
        <v>0</v>
      </c>
      <c r="J5" s="1">
        <v>6</v>
      </c>
      <c r="K5" s="1">
        <v>0</v>
      </c>
      <c r="L5" s="1">
        <v>8</v>
      </c>
      <c r="M5" s="1">
        <v>68</v>
      </c>
      <c r="N5" s="1">
        <v>75</v>
      </c>
      <c r="O5" s="1">
        <v>0</v>
      </c>
      <c r="P5" s="1">
        <v>1</v>
      </c>
      <c r="Q5" s="1">
        <v>4</v>
      </c>
      <c r="R5" s="5">
        <v>2</v>
      </c>
      <c r="S5" s="1">
        <v>1</v>
      </c>
      <c r="T5" s="1" t="s">
        <v>42</v>
      </c>
      <c r="U5" s="1" t="s">
        <v>57</v>
      </c>
      <c r="V5" s="1">
        <v>16</v>
      </c>
      <c r="W5" s="1">
        <v>170</v>
      </c>
      <c r="X5" s="8">
        <v>0.52939999999999998</v>
      </c>
      <c r="Y5" s="5">
        <v>2</v>
      </c>
      <c r="Z5" s="1">
        <v>2</v>
      </c>
      <c r="AA5" s="1">
        <f t="shared" si="0"/>
        <v>4</v>
      </c>
      <c r="AB5" s="1">
        <v>850</v>
      </c>
      <c r="AC5" s="1">
        <f t="shared" si="1"/>
        <v>3400</v>
      </c>
      <c r="AG5" s="6" t="s">
        <v>55</v>
      </c>
      <c r="AH5">
        <v>5</v>
      </c>
    </row>
    <row r="6" spans="1:34" ht="14" customHeight="1">
      <c r="A6" s="1" t="s">
        <v>58</v>
      </c>
      <c r="B6" s="1" t="s">
        <v>59</v>
      </c>
      <c r="C6" s="1" t="s">
        <v>60</v>
      </c>
      <c r="D6" t="s">
        <v>61</v>
      </c>
      <c r="E6" s="1" t="s">
        <v>62</v>
      </c>
      <c r="F6" s="1" t="s">
        <v>34</v>
      </c>
      <c r="G6" s="1">
        <v>0.32</v>
      </c>
      <c r="H6" s="1">
        <v>450</v>
      </c>
      <c r="I6" s="1">
        <v>26</v>
      </c>
      <c r="J6" s="1">
        <v>25</v>
      </c>
      <c r="K6" s="1">
        <v>1.3</v>
      </c>
      <c r="L6" s="1">
        <v>0</v>
      </c>
      <c r="M6" s="1"/>
      <c r="N6" s="1">
        <v>28</v>
      </c>
      <c r="O6" s="1">
        <v>0</v>
      </c>
      <c r="P6" s="1">
        <v>2</v>
      </c>
      <c r="Q6" s="1">
        <v>5</v>
      </c>
      <c r="R6" s="5">
        <v>3</v>
      </c>
      <c r="S6" s="1">
        <v>2</v>
      </c>
      <c r="T6" s="1" t="s">
        <v>35</v>
      </c>
      <c r="U6" t="s">
        <v>63</v>
      </c>
      <c r="V6" s="1">
        <v>282</v>
      </c>
      <c r="W6" s="1">
        <v>160</v>
      </c>
      <c r="X6" s="4">
        <v>1.76</v>
      </c>
      <c r="Y6" s="5">
        <v>3</v>
      </c>
      <c r="Z6" s="1">
        <v>3</v>
      </c>
      <c r="AA6" s="1">
        <f t="shared" si="0"/>
        <v>9</v>
      </c>
      <c r="AB6" s="1">
        <v>450</v>
      </c>
      <c r="AC6" s="1">
        <f t="shared" si="1"/>
        <v>4050</v>
      </c>
      <c r="AG6" s="3" t="s">
        <v>62</v>
      </c>
      <c r="AH6">
        <v>4</v>
      </c>
    </row>
    <row r="7" spans="1:34" ht="14" customHeight="1">
      <c r="A7" s="1" t="s">
        <v>64</v>
      </c>
      <c r="B7" s="1" t="s">
        <v>65</v>
      </c>
      <c r="C7" s="1" t="s">
        <v>66</v>
      </c>
      <c r="D7" t="s">
        <v>67</v>
      </c>
      <c r="E7" s="1" t="s">
        <v>48</v>
      </c>
      <c r="F7" s="1" t="s">
        <v>34</v>
      </c>
      <c r="G7" s="1">
        <v>0.24</v>
      </c>
      <c r="H7" s="1">
        <v>980</v>
      </c>
      <c r="I7" s="1">
        <v>32</v>
      </c>
      <c r="J7" s="1">
        <v>32</v>
      </c>
      <c r="K7" s="1">
        <v>2</v>
      </c>
      <c r="L7" s="1">
        <v>0</v>
      </c>
      <c r="M7" s="1"/>
      <c r="N7" s="1">
        <v>25</v>
      </c>
      <c r="O7" s="1">
        <v>0</v>
      </c>
      <c r="P7" s="1">
        <v>2</v>
      </c>
      <c r="Q7" s="1">
        <v>5</v>
      </c>
      <c r="R7" s="5">
        <v>2</v>
      </c>
      <c r="S7" s="1">
        <v>2</v>
      </c>
      <c r="T7" s="1" t="s">
        <v>35</v>
      </c>
      <c r="U7" t="s">
        <v>68</v>
      </c>
      <c r="V7" s="7" t="s">
        <v>69</v>
      </c>
      <c r="W7" s="1">
        <v>160</v>
      </c>
      <c r="X7" s="8">
        <v>1.175</v>
      </c>
      <c r="Y7" s="5">
        <v>2</v>
      </c>
      <c r="Z7" s="1">
        <v>3</v>
      </c>
      <c r="AA7" s="1">
        <f t="shared" si="0"/>
        <v>6</v>
      </c>
      <c r="AB7" s="1">
        <v>700</v>
      </c>
      <c r="AC7" s="1">
        <f t="shared" si="1"/>
        <v>4200</v>
      </c>
      <c r="AG7" s="6" t="s">
        <v>70</v>
      </c>
      <c r="AH7">
        <v>5</v>
      </c>
    </row>
    <row r="8" spans="1:34" ht="47.5" customHeight="1">
      <c r="A8" s="1" t="s">
        <v>71</v>
      </c>
      <c r="B8" s="1" t="s">
        <v>72</v>
      </c>
      <c r="C8" s="1" t="s">
        <v>73</v>
      </c>
      <c r="D8" t="s">
        <v>74</v>
      </c>
      <c r="E8" s="1" t="s">
        <v>33</v>
      </c>
      <c r="F8" s="1" t="s">
        <v>34</v>
      </c>
      <c r="G8" s="1">
        <v>0.28999999999999998</v>
      </c>
      <c r="H8" s="1">
        <v>650</v>
      </c>
      <c r="I8" s="1">
        <v>26</v>
      </c>
      <c r="J8" s="1">
        <v>30</v>
      </c>
      <c r="K8" s="1">
        <v>1.3</v>
      </c>
      <c r="L8" s="1">
        <v>0</v>
      </c>
      <c r="M8" s="1"/>
      <c r="N8" s="1">
        <v>25</v>
      </c>
      <c r="O8" s="1">
        <v>0</v>
      </c>
      <c r="P8" s="1">
        <v>2</v>
      </c>
      <c r="Q8" s="1">
        <v>5</v>
      </c>
      <c r="R8" s="5">
        <v>3</v>
      </c>
      <c r="S8" s="1">
        <v>2</v>
      </c>
      <c r="T8" s="1" t="s">
        <v>42</v>
      </c>
      <c r="U8" t="s">
        <v>75</v>
      </c>
      <c r="V8" s="1">
        <v>332</v>
      </c>
      <c r="W8" s="1">
        <v>170</v>
      </c>
      <c r="X8" s="8">
        <v>1.952</v>
      </c>
      <c r="Y8" s="5">
        <v>3</v>
      </c>
      <c r="Z8" s="1">
        <v>3</v>
      </c>
      <c r="AA8" s="1">
        <f t="shared" si="0"/>
        <v>9</v>
      </c>
      <c r="AB8" s="1">
        <v>650</v>
      </c>
      <c r="AC8" s="1">
        <f t="shared" si="1"/>
        <v>5850</v>
      </c>
      <c r="AG8" s="3" t="s">
        <v>76</v>
      </c>
      <c r="AH8">
        <v>4</v>
      </c>
    </row>
    <row r="9" spans="1:34" ht="28" customHeight="1">
      <c r="A9" s="1" t="s">
        <v>77</v>
      </c>
      <c r="B9" s="1" t="s">
        <v>78</v>
      </c>
      <c r="C9" s="1" t="s">
        <v>79</v>
      </c>
      <c r="D9" t="s">
        <v>80</v>
      </c>
      <c r="E9" s="1" t="s">
        <v>76</v>
      </c>
      <c r="F9" s="1" t="s">
        <v>56</v>
      </c>
      <c r="G9" s="1">
        <v>0.73</v>
      </c>
      <c r="H9" s="1">
        <v>1000</v>
      </c>
      <c r="I9" s="1">
        <v>0</v>
      </c>
      <c r="J9" s="1">
        <v>8</v>
      </c>
      <c r="K9" s="1">
        <v>0</v>
      </c>
      <c r="L9" s="1">
        <v>10</v>
      </c>
      <c r="M9" s="1">
        <v>37</v>
      </c>
      <c r="N9" s="1">
        <v>75</v>
      </c>
      <c r="O9" s="1">
        <v>1</v>
      </c>
      <c r="P9" s="1">
        <v>1</v>
      </c>
      <c r="Q9" s="1">
        <v>3</v>
      </c>
      <c r="R9" s="5">
        <v>2</v>
      </c>
      <c r="S9" s="1">
        <v>1</v>
      </c>
      <c r="T9" s="1" t="s">
        <v>81</v>
      </c>
      <c r="U9" s="1" t="s">
        <v>82</v>
      </c>
      <c r="V9" s="1">
        <v>20</v>
      </c>
      <c r="W9" s="1">
        <v>180</v>
      </c>
      <c r="X9" s="8">
        <v>0.5222</v>
      </c>
      <c r="Y9" s="5">
        <v>2</v>
      </c>
      <c r="Z9" s="1">
        <v>2</v>
      </c>
      <c r="AA9" s="1">
        <f t="shared" si="0"/>
        <v>4</v>
      </c>
      <c r="AB9" s="1">
        <v>1000</v>
      </c>
      <c r="AC9" s="1">
        <f t="shared" si="1"/>
        <v>4000</v>
      </c>
    </row>
    <row r="10" spans="1:34" ht="14" customHeight="1">
      <c r="A10" s="1" t="s">
        <v>83</v>
      </c>
      <c r="B10" s="1" t="s">
        <v>84</v>
      </c>
      <c r="C10" s="1" t="s">
        <v>85</v>
      </c>
      <c r="D10" t="s">
        <v>86</v>
      </c>
      <c r="E10" s="1" t="s">
        <v>55</v>
      </c>
      <c r="F10" s="1" t="s">
        <v>56</v>
      </c>
      <c r="G10" s="1">
        <v>0.34</v>
      </c>
      <c r="H10" s="1">
        <v>600</v>
      </c>
      <c r="I10" s="1">
        <v>0</v>
      </c>
      <c r="J10" s="1">
        <v>6</v>
      </c>
      <c r="K10" s="1">
        <v>0</v>
      </c>
      <c r="L10" s="1">
        <v>8</v>
      </c>
      <c r="M10" s="1">
        <v>66</v>
      </c>
      <c r="N10" s="1">
        <v>75</v>
      </c>
      <c r="O10" s="1">
        <v>0</v>
      </c>
      <c r="P10" s="1">
        <v>1</v>
      </c>
      <c r="Q10" s="1">
        <v>4</v>
      </c>
      <c r="R10" s="5">
        <v>2</v>
      </c>
      <c r="S10" s="1">
        <v>1</v>
      </c>
      <c r="T10" s="1" t="s">
        <v>35</v>
      </c>
      <c r="U10" s="1" t="s">
        <v>87</v>
      </c>
      <c r="V10" s="1">
        <v>32</v>
      </c>
      <c r="W10" s="1">
        <v>160</v>
      </c>
      <c r="X10" s="8">
        <v>1.01</v>
      </c>
      <c r="Y10" s="5">
        <v>2</v>
      </c>
      <c r="Z10" s="1">
        <v>2</v>
      </c>
      <c r="AA10" s="1">
        <f t="shared" si="0"/>
        <v>4</v>
      </c>
      <c r="AB10" s="1">
        <v>600</v>
      </c>
      <c r="AC10" s="1">
        <f t="shared" si="1"/>
        <v>2400</v>
      </c>
    </row>
    <row r="11" spans="1:34" ht="14" customHeight="1">
      <c r="A11" s="1" t="s">
        <v>88</v>
      </c>
      <c r="B11" s="1" t="s">
        <v>89</v>
      </c>
      <c r="C11" s="1" t="s">
        <v>90</v>
      </c>
      <c r="D11" t="s">
        <v>91</v>
      </c>
      <c r="E11" s="1" t="s">
        <v>33</v>
      </c>
      <c r="F11" s="1" t="s">
        <v>34</v>
      </c>
      <c r="G11" s="1">
        <v>0.18</v>
      </c>
      <c r="H11" s="1">
        <v>700</v>
      </c>
      <c r="I11" s="1">
        <v>24</v>
      </c>
      <c r="J11" s="1">
        <v>28</v>
      </c>
      <c r="K11" s="1">
        <v>1.8</v>
      </c>
      <c r="L11" s="1">
        <v>0</v>
      </c>
      <c r="M11" s="1"/>
      <c r="N11" s="1">
        <v>28</v>
      </c>
      <c r="O11" s="1">
        <v>0</v>
      </c>
      <c r="P11" s="1">
        <v>2</v>
      </c>
      <c r="Q11" s="1">
        <v>5</v>
      </c>
      <c r="R11" s="5">
        <v>3</v>
      </c>
      <c r="S11" s="1">
        <v>2</v>
      </c>
      <c r="T11" s="1" t="s">
        <v>42</v>
      </c>
      <c r="U11" t="s">
        <v>92</v>
      </c>
      <c r="V11" s="1">
        <v>237</v>
      </c>
      <c r="W11" s="1">
        <v>160</v>
      </c>
      <c r="X11" s="7">
        <v>1.48</v>
      </c>
      <c r="Y11" s="5">
        <v>3</v>
      </c>
      <c r="Z11" s="1">
        <v>4</v>
      </c>
      <c r="AA11" s="1">
        <f t="shared" si="0"/>
        <v>12</v>
      </c>
      <c r="AB11" s="1">
        <v>700</v>
      </c>
      <c r="AC11" s="1">
        <f t="shared" si="1"/>
        <v>8400</v>
      </c>
    </row>
    <row r="12" spans="1:34" ht="14" customHeight="1">
      <c r="A12" s="1" t="s">
        <v>93</v>
      </c>
      <c r="B12" s="1" t="s">
        <v>94</v>
      </c>
      <c r="C12" s="1" t="s">
        <v>95</v>
      </c>
      <c r="D12" t="s">
        <v>96</v>
      </c>
      <c r="E12" s="1" t="s">
        <v>70</v>
      </c>
      <c r="F12" s="1" t="s">
        <v>56</v>
      </c>
      <c r="G12" s="1">
        <v>0.32</v>
      </c>
      <c r="H12" s="1">
        <v>800</v>
      </c>
      <c r="I12" s="1">
        <v>0</v>
      </c>
      <c r="J12" s="1">
        <v>6</v>
      </c>
      <c r="K12" s="1">
        <v>0</v>
      </c>
      <c r="L12" s="1">
        <v>8</v>
      </c>
      <c r="M12" s="1">
        <v>73</v>
      </c>
      <c r="N12" s="1">
        <v>75</v>
      </c>
      <c r="O12" s="1">
        <v>0</v>
      </c>
      <c r="P12" s="1">
        <v>1</v>
      </c>
      <c r="Q12" s="1">
        <v>4</v>
      </c>
      <c r="R12" s="5">
        <v>2</v>
      </c>
      <c r="S12" s="1">
        <v>1</v>
      </c>
      <c r="T12" s="1" t="s">
        <v>35</v>
      </c>
      <c r="U12" s="1" t="s">
        <v>87</v>
      </c>
      <c r="V12" s="1">
        <v>16</v>
      </c>
      <c r="W12" s="1">
        <v>160</v>
      </c>
      <c r="X12" s="8">
        <v>0.5625</v>
      </c>
      <c r="Y12" s="5">
        <v>2</v>
      </c>
      <c r="Z12" s="1">
        <v>2</v>
      </c>
      <c r="AA12" s="1">
        <f t="shared" si="0"/>
        <v>4</v>
      </c>
      <c r="AB12" s="1">
        <v>800</v>
      </c>
      <c r="AC12" s="1">
        <f t="shared" si="1"/>
        <v>3200</v>
      </c>
    </row>
    <row r="13" spans="1:34" ht="14" customHeight="1">
      <c r="A13" s="1" t="s">
        <v>97</v>
      </c>
      <c r="B13" s="1" t="s">
        <v>98</v>
      </c>
      <c r="C13" s="1" t="s">
        <v>99</v>
      </c>
      <c r="D13" t="s">
        <v>100</v>
      </c>
      <c r="E13" s="1" t="s">
        <v>62</v>
      </c>
      <c r="F13" s="1" t="s">
        <v>34</v>
      </c>
      <c r="G13" s="1">
        <v>0.45</v>
      </c>
      <c r="H13" s="1">
        <v>650</v>
      </c>
      <c r="I13" s="1">
        <v>28</v>
      </c>
      <c r="J13" s="1">
        <v>34</v>
      </c>
      <c r="K13" s="1">
        <v>1.7</v>
      </c>
      <c r="L13" s="1">
        <v>0</v>
      </c>
      <c r="M13" s="1"/>
      <c r="N13" s="1">
        <v>28</v>
      </c>
      <c r="O13" s="1">
        <v>0</v>
      </c>
      <c r="P13" s="1">
        <v>2</v>
      </c>
      <c r="Q13" s="1">
        <v>4</v>
      </c>
      <c r="R13" s="5">
        <v>2</v>
      </c>
      <c r="S13" s="1">
        <v>2</v>
      </c>
      <c r="T13" s="1" t="s">
        <v>35</v>
      </c>
      <c r="U13" t="s">
        <v>101</v>
      </c>
      <c r="V13" s="1">
        <v>256</v>
      </c>
      <c r="W13" s="1">
        <v>160</v>
      </c>
      <c r="X13" s="9">
        <v>1.6</v>
      </c>
      <c r="Y13" s="5">
        <v>2</v>
      </c>
      <c r="Z13" s="1">
        <v>4</v>
      </c>
      <c r="AA13" s="1">
        <f t="shared" si="0"/>
        <v>8</v>
      </c>
      <c r="AB13" s="1">
        <v>650</v>
      </c>
      <c r="AC13" s="1">
        <f t="shared" si="1"/>
        <v>5200</v>
      </c>
    </row>
    <row r="14" spans="1:34" ht="14" customHeight="1">
      <c r="A14" s="1" t="s">
        <v>102</v>
      </c>
      <c r="B14" s="1" t="s">
        <v>103</v>
      </c>
      <c r="C14" s="1" t="s">
        <v>104</v>
      </c>
      <c r="D14" t="s">
        <v>105</v>
      </c>
      <c r="E14" s="1" t="s">
        <v>70</v>
      </c>
      <c r="F14" s="1" t="s">
        <v>56</v>
      </c>
      <c r="G14" s="1">
        <v>0.33</v>
      </c>
      <c r="H14" s="1">
        <v>900</v>
      </c>
      <c r="I14" s="1">
        <v>0</v>
      </c>
      <c r="J14" s="1">
        <v>6</v>
      </c>
      <c r="K14" s="1">
        <v>0</v>
      </c>
      <c r="L14" s="1">
        <v>8</v>
      </c>
      <c r="M14" s="1"/>
      <c r="N14" s="1">
        <v>75</v>
      </c>
      <c r="O14" s="1">
        <v>0</v>
      </c>
      <c r="P14" s="1">
        <v>1</v>
      </c>
      <c r="Q14" s="1">
        <v>4</v>
      </c>
      <c r="R14" s="5">
        <v>2</v>
      </c>
      <c r="S14" s="1">
        <v>1</v>
      </c>
      <c r="T14" s="1" t="s">
        <v>42</v>
      </c>
      <c r="U14" s="1" t="s">
        <v>87</v>
      </c>
      <c r="V14" s="1">
        <v>16</v>
      </c>
      <c r="W14" s="1">
        <v>160</v>
      </c>
      <c r="X14" s="8">
        <v>0.52500000000000002</v>
      </c>
      <c r="Y14" s="5">
        <v>2</v>
      </c>
      <c r="Z14" s="1">
        <v>2</v>
      </c>
      <c r="AA14" s="1">
        <f t="shared" si="0"/>
        <v>4</v>
      </c>
      <c r="AB14" s="1">
        <v>900</v>
      </c>
      <c r="AC14" s="1">
        <f t="shared" si="1"/>
        <v>3600</v>
      </c>
    </row>
    <row r="15" spans="1:34" ht="14" customHeight="1">
      <c r="A15" s="1" t="s">
        <v>106</v>
      </c>
      <c r="B15" s="1" t="s">
        <v>107</v>
      </c>
      <c r="C15" s="1" t="s">
        <v>108</v>
      </c>
      <c r="D15" t="s">
        <v>109</v>
      </c>
      <c r="E15" s="1" t="s">
        <v>33</v>
      </c>
      <c r="F15" s="1" t="s">
        <v>34</v>
      </c>
      <c r="G15" s="1">
        <v>0.12</v>
      </c>
      <c r="H15" s="1">
        <v>550</v>
      </c>
      <c r="I15" s="1">
        <v>24</v>
      </c>
      <c r="J15" s="1">
        <v>28</v>
      </c>
      <c r="K15" s="1">
        <v>1</v>
      </c>
      <c r="L15" s="1">
        <v>0</v>
      </c>
      <c r="M15" s="1"/>
      <c r="N15" s="1">
        <v>25</v>
      </c>
      <c r="O15" s="1">
        <v>0</v>
      </c>
      <c r="P15" s="1">
        <v>2</v>
      </c>
      <c r="Q15" s="1">
        <v>5</v>
      </c>
      <c r="R15" s="5">
        <v>3</v>
      </c>
      <c r="S15" s="1">
        <v>2</v>
      </c>
      <c r="T15" s="1" t="s">
        <v>35</v>
      </c>
      <c r="U15" t="s">
        <v>110</v>
      </c>
      <c r="V15" s="1">
        <v>228</v>
      </c>
      <c r="W15" s="1">
        <v>160</v>
      </c>
      <c r="X15" s="8">
        <v>1.425</v>
      </c>
      <c r="Y15" s="5">
        <v>3</v>
      </c>
      <c r="Z15" s="1">
        <v>4</v>
      </c>
      <c r="AA15" s="1">
        <f t="shared" si="0"/>
        <v>12</v>
      </c>
      <c r="AB15" s="1">
        <v>550</v>
      </c>
      <c r="AC15" s="1">
        <f t="shared" si="1"/>
        <v>6600</v>
      </c>
    </row>
    <row r="16" spans="1:34" ht="14" customHeight="1">
      <c r="A16" s="1" t="s">
        <v>111</v>
      </c>
      <c r="B16" s="1" t="s">
        <v>112</v>
      </c>
      <c r="C16" s="1" t="s">
        <v>46</v>
      </c>
      <c r="D16" t="s">
        <v>47</v>
      </c>
      <c r="E16" s="1" t="s">
        <v>62</v>
      </c>
      <c r="F16" s="1" t="s">
        <v>34</v>
      </c>
      <c r="G16" s="1">
        <v>0.45</v>
      </c>
      <c r="H16" s="1">
        <v>950</v>
      </c>
      <c r="I16" s="1">
        <v>30</v>
      </c>
      <c r="J16" s="1">
        <v>32</v>
      </c>
      <c r="K16" s="1">
        <v>1.6</v>
      </c>
      <c r="L16" s="1">
        <v>0</v>
      </c>
      <c r="M16" s="1"/>
      <c r="N16" s="1">
        <v>28</v>
      </c>
      <c r="O16" s="1">
        <v>1</v>
      </c>
      <c r="P16" s="1">
        <v>2</v>
      </c>
      <c r="Q16" s="1">
        <v>4</v>
      </c>
      <c r="R16" s="5">
        <v>2</v>
      </c>
      <c r="S16" s="1">
        <v>2</v>
      </c>
      <c r="T16" s="1" t="s">
        <v>42</v>
      </c>
      <c r="U16" t="s">
        <v>113</v>
      </c>
      <c r="V16" s="7" t="s">
        <v>50</v>
      </c>
      <c r="W16" s="1">
        <v>170</v>
      </c>
      <c r="X16" s="8">
        <v>1.0235000000000001</v>
      </c>
      <c r="Y16" s="5">
        <v>2</v>
      </c>
      <c r="Z16" s="1">
        <v>2</v>
      </c>
      <c r="AA16" s="1">
        <f t="shared" si="0"/>
        <v>4</v>
      </c>
      <c r="AB16" s="1">
        <v>950</v>
      </c>
      <c r="AC16" s="1">
        <f t="shared" si="1"/>
        <v>3800</v>
      </c>
    </row>
    <row r="17" spans="1:29" ht="14" customHeight="1">
      <c r="A17" s="1" t="s">
        <v>114</v>
      </c>
      <c r="B17" s="1" t="s">
        <v>115</v>
      </c>
      <c r="C17" s="1" t="s">
        <v>66</v>
      </c>
      <c r="D17" t="s">
        <v>67</v>
      </c>
      <c r="E17" s="1" t="s">
        <v>62</v>
      </c>
      <c r="F17" s="1" t="s">
        <v>34</v>
      </c>
      <c r="G17" s="1">
        <v>0.38</v>
      </c>
      <c r="H17" s="1">
        <v>720</v>
      </c>
      <c r="I17" s="1">
        <v>30</v>
      </c>
      <c r="J17" s="1">
        <v>34</v>
      </c>
      <c r="K17" s="1">
        <v>2.2000000000000002</v>
      </c>
      <c r="L17" s="1">
        <v>0</v>
      </c>
      <c r="M17" s="1"/>
      <c r="N17" s="1">
        <v>28</v>
      </c>
      <c r="O17" s="1">
        <v>0</v>
      </c>
      <c r="P17" s="1">
        <v>2</v>
      </c>
      <c r="Q17" s="1">
        <v>4</v>
      </c>
      <c r="R17" s="5">
        <v>2</v>
      </c>
      <c r="S17" s="1">
        <v>2</v>
      </c>
      <c r="T17" s="1" t="s">
        <v>35</v>
      </c>
      <c r="U17" t="s">
        <v>68</v>
      </c>
      <c r="V17" s="7" t="s">
        <v>69</v>
      </c>
      <c r="W17" s="1">
        <v>160</v>
      </c>
      <c r="X17" s="8">
        <v>1.175</v>
      </c>
      <c r="Y17" s="5">
        <v>2</v>
      </c>
      <c r="Z17" s="1">
        <v>4</v>
      </c>
      <c r="AA17" s="1">
        <f t="shared" si="0"/>
        <v>8</v>
      </c>
      <c r="AB17" s="1">
        <v>720</v>
      </c>
      <c r="AC17" s="1">
        <f t="shared" si="1"/>
        <v>5760</v>
      </c>
    </row>
    <row r="18" spans="1:29" ht="28" customHeight="1">
      <c r="A18" s="1" t="s">
        <v>116</v>
      </c>
      <c r="B18" s="1" t="s">
        <v>117</v>
      </c>
      <c r="C18" s="1" t="s">
        <v>79</v>
      </c>
      <c r="D18" t="s">
        <v>80</v>
      </c>
      <c r="E18" s="1" t="s">
        <v>76</v>
      </c>
      <c r="F18" s="1" t="s">
        <v>56</v>
      </c>
      <c r="G18" s="1">
        <v>0.68</v>
      </c>
      <c r="H18" s="1">
        <v>1100</v>
      </c>
      <c r="I18" s="1">
        <v>0</v>
      </c>
      <c r="J18" s="1">
        <v>8</v>
      </c>
      <c r="K18" s="1">
        <v>0</v>
      </c>
      <c r="L18" s="1">
        <v>10</v>
      </c>
      <c r="M18" s="1"/>
      <c r="N18" s="1">
        <v>75</v>
      </c>
      <c r="O18" s="1">
        <v>1</v>
      </c>
      <c r="P18" s="1">
        <v>1</v>
      </c>
      <c r="Q18" s="1">
        <v>3</v>
      </c>
      <c r="R18" s="5">
        <v>1</v>
      </c>
      <c r="S18" s="1">
        <v>1</v>
      </c>
      <c r="T18" s="1" t="s">
        <v>81</v>
      </c>
      <c r="U18" s="1" t="s">
        <v>118</v>
      </c>
      <c r="V18" s="1">
        <v>10</v>
      </c>
      <c r="W18" s="1">
        <v>180</v>
      </c>
      <c r="X18" s="8">
        <v>0.5222</v>
      </c>
      <c r="Y18" s="5">
        <v>1</v>
      </c>
      <c r="Z18" s="1">
        <v>2</v>
      </c>
      <c r="AA18" s="1">
        <f t="shared" si="0"/>
        <v>2</v>
      </c>
      <c r="AB18" s="1">
        <v>1100</v>
      </c>
      <c r="AC18" s="1">
        <f t="shared" si="1"/>
        <v>2200</v>
      </c>
    </row>
    <row r="19" spans="1:29" ht="14" customHeight="1">
      <c r="A19" s="1" t="s">
        <v>119</v>
      </c>
      <c r="B19" s="1" t="s">
        <v>120</v>
      </c>
      <c r="C19" s="1" t="s">
        <v>121</v>
      </c>
      <c r="D19" t="s">
        <v>122</v>
      </c>
      <c r="E19" s="1" t="s">
        <v>33</v>
      </c>
      <c r="F19" s="1" t="s">
        <v>34</v>
      </c>
      <c r="G19" s="1">
        <v>0.26</v>
      </c>
      <c r="H19" s="1">
        <v>780</v>
      </c>
      <c r="I19" s="1">
        <v>28</v>
      </c>
      <c r="J19" s="1">
        <v>30</v>
      </c>
      <c r="K19" s="1">
        <v>1.4</v>
      </c>
      <c r="L19" s="1">
        <v>0</v>
      </c>
      <c r="M19" s="1"/>
      <c r="N19" s="1">
        <v>25</v>
      </c>
      <c r="O19" s="1">
        <v>0</v>
      </c>
      <c r="P19" s="1">
        <v>2</v>
      </c>
      <c r="Q19" s="1">
        <v>4</v>
      </c>
      <c r="R19" s="5">
        <v>2</v>
      </c>
      <c r="S19" s="1">
        <v>2</v>
      </c>
      <c r="T19" s="1" t="s">
        <v>42</v>
      </c>
      <c r="U19" t="s">
        <v>123</v>
      </c>
      <c r="V19" s="1">
        <v>168</v>
      </c>
      <c r="W19" s="1">
        <v>160</v>
      </c>
      <c r="X19" s="8">
        <v>1.05</v>
      </c>
      <c r="Y19" s="5">
        <v>2</v>
      </c>
      <c r="Z19" s="1">
        <v>2</v>
      </c>
      <c r="AA19" s="1">
        <f t="shared" si="0"/>
        <v>4</v>
      </c>
      <c r="AB19" s="1">
        <v>780</v>
      </c>
      <c r="AC19" s="1">
        <f t="shared" si="1"/>
        <v>3120</v>
      </c>
    </row>
    <row r="20" spans="1:29" ht="14" customHeight="1">
      <c r="A20" s="1" t="s">
        <v>124</v>
      </c>
      <c r="B20" t="s">
        <v>125</v>
      </c>
      <c r="C20" s="1" t="s">
        <v>73</v>
      </c>
      <c r="D20" t="s">
        <v>74</v>
      </c>
      <c r="E20" s="1" t="s">
        <v>62</v>
      </c>
      <c r="F20" s="1" t="s">
        <v>34</v>
      </c>
      <c r="G20" s="1">
        <v>0.71</v>
      </c>
      <c r="H20" s="1">
        <v>1200</v>
      </c>
      <c r="I20" s="1">
        <v>26</v>
      </c>
      <c r="J20" s="1">
        <v>28</v>
      </c>
      <c r="K20" s="1">
        <v>1.8</v>
      </c>
      <c r="L20" s="1">
        <v>0</v>
      </c>
      <c r="M20" s="1"/>
      <c r="N20" s="1">
        <v>28</v>
      </c>
      <c r="O20" s="1">
        <v>1</v>
      </c>
      <c r="P20" s="1">
        <v>2</v>
      </c>
      <c r="Q20" s="1">
        <v>4</v>
      </c>
      <c r="R20" s="5">
        <v>2</v>
      </c>
      <c r="S20" s="1">
        <v>2</v>
      </c>
      <c r="T20" s="1" t="s">
        <v>42</v>
      </c>
      <c r="U20" t="s">
        <v>126</v>
      </c>
      <c r="V20" s="1">
        <v>332</v>
      </c>
      <c r="W20" s="1">
        <v>170</v>
      </c>
      <c r="X20" s="8">
        <v>1.952</v>
      </c>
      <c r="Y20" s="5">
        <v>2</v>
      </c>
      <c r="Z20" s="1">
        <v>4</v>
      </c>
      <c r="AA20" s="1">
        <f t="shared" si="0"/>
        <v>8</v>
      </c>
      <c r="AB20" s="1">
        <v>1200</v>
      </c>
      <c r="AC20" s="1">
        <f t="shared" si="1"/>
        <v>9600</v>
      </c>
    </row>
    <row r="21" spans="1:29" ht="14" customHeight="1">
      <c r="A21" s="1" t="s">
        <v>127</v>
      </c>
      <c r="B21" t="s">
        <v>128</v>
      </c>
      <c r="C21" s="1" t="s">
        <v>73</v>
      </c>
      <c r="D21" t="s">
        <v>74</v>
      </c>
      <c r="E21" s="1" t="s">
        <v>62</v>
      </c>
      <c r="F21" s="1" t="s">
        <v>34</v>
      </c>
      <c r="G21" s="1">
        <v>0.72</v>
      </c>
      <c r="H21" s="1">
        <v>1200</v>
      </c>
      <c r="I21" s="1">
        <v>34</v>
      </c>
      <c r="J21" s="1">
        <v>26</v>
      </c>
      <c r="K21" s="1">
        <v>2.6</v>
      </c>
      <c r="L21" s="1">
        <v>0</v>
      </c>
      <c r="M21" s="1"/>
      <c r="N21" s="1">
        <v>28</v>
      </c>
      <c r="O21" s="1">
        <v>1</v>
      </c>
      <c r="P21" s="1">
        <v>2</v>
      </c>
      <c r="Q21" s="1">
        <v>4</v>
      </c>
      <c r="R21" s="5">
        <v>3</v>
      </c>
      <c r="S21" s="1">
        <v>2</v>
      </c>
      <c r="T21" s="1" t="s">
        <v>42</v>
      </c>
      <c r="U21" t="s">
        <v>126</v>
      </c>
      <c r="V21" s="1">
        <v>332</v>
      </c>
      <c r="W21" s="1">
        <v>170</v>
      </c>
      <c r="X21" s="8">
        <v>1.952</v>
      </c>
      <c r="Y21" s="5">
        <v>3</v>
      </c>
      <c r="Z21" s="1">
        <v>4</v>
      </c>
      <c r="AA21" s="1">
        <f t="shared" si="0"/>
        <v>12</v>
      </c>
      <c r="AB21" s="1">
        <v>1200</v>
      </c>
      <c r="AC21" s="1">
        <f t="shared" si="1"/>
        <v>14400</v>
      </c>
    </row>
    <row r="22" spans="1:29" ht="14" customHeight="1">
      <c r="A22" s="1" t="s">
        <v>129</v>
      </c>
      <c r="B22" t="s">
        <v>130</v>
      </c>
      <c r="C22" s="1" t="s">
        <v>60</v>
      </c>
      <c r="D22" t="s">
        <v>61</v>
      </c>
      <c r="E22" s="1" t="s">
        <v>62</v>
      </c>
      <c r="F22" s="1" t="s">
        <v>34</v>
      </c>
      <c r="G22" s="1">
        <v>0.55000000000000004</v>
      </c>
      <c r="H22" s="1">
        <v>890</v>
      </c>
      <c r="I22" s="1">
        <v>33</v>
      </c>
      <c r="J22" s="1">
        <v>26</v>
      </c>
      <c r="K22" s="1">
        <v>2.1</v>
      </c>
      <c r="L22" s="1">
        <v>0</v>
      </c>
      <c r="M22" s="1"/>
      <c r="N22" s="1">
        <v>28</v>
      </c>
      <c r="O22" s="1">
        <v>1</v>
      </c>
      <c r="P22" s="1">
        <v>2</v>
      </c>
      <c r="Q22" s="1">
        <v>4</v>
      </c>
      <c r="R22" s="5">
        <v>4</v>
      </c>
      <c r="S22" s="1">
        <v>2</v>
      </c>
      <c r="T22" s="1" t="s">
        <v>35</v>
      </c>
      <c r="U22" t="s">
        <v>131</v>
      </c>
      <c r="V22" s="1">
        <v>282</v>
      </c>
      <c r="W22" s="1">
        <v>160</v>
      </c>
      <c r="X22" s="4">
        <v>1.76</v>
      </c>
      <c r="Y22" s="5">
        <v>4</v>
      </c>
      <c r="Z22" s="1">
        <v>4</v>
      </c>
      <c r="AA22" s="1">
        <f t="shared" si="0"/>
        <v>16</v>
      </c>
      <c r="AB22" s="1">
        <v>890</v>
      </c>
      <c r="AC22" s="1">
        <f t="shared" si="1"/>
        <v>14240</v>
      </c>
    </row>
    <row r="23" spans="1:29" ht="14" customHeight="1">
      <c r="A23" s="1" t="s">
        <v>132</v>
      </c>
      <c r="B23" t="s">
        <v>133</v>
      </c>
      <c r="C23" s="1" t="s">
        <v>66</v>
      </c>
      <c r="D23" t="s">
        <v>67</v>
      </c>
      <c r="E23" s="1" t="s">
        <v>62</v>
      </c>
      <c r="F23" s="1" t="s">
        <v>34</v>
      </c>
      <c r="G23" s="1">
        <v>0.48</v>
      </c>
      <c r="H23" s="1">
        <v>900</v>
      </c>
      <c r="I23" s="1">
        <v>32</v>
      </c>
      <c r="J23" s="1">
        <v>25</v>
      </c>
      <c r="K23" s="1">
        <v>1.7</v>
      </c>
      <c r="L23" s="1">
        <v>0</v>
      </c>
      <c r="M23" s="1"/>
      <c r="N23" s="1">
        <v>28</v>
      </c>
      <c r="O23" s="1">
        <v>1</v>
      </c>
      <c r="P23" s="1">
        <v>2</v>
      </c>
      <c r="Q23" s="1">
        <v>4</v>
      </c>
      <c r="R23" s="5">
        <v>2</v>
      </c>
      <c r="S23" s="1">
        <v>2</v>
      </c>
      <c r="T23" s="1" t="s">
        <v>35</v>
      </c>
      <c r="U23" t="s">
        <v>68</v>
      </c>
      <c r="V23" s="7" t="s">
        <v>69</v>
      </c>
      <c r="W23" s="1">
        <v>160</v>
      </c>
      <c r="X23" s="8">
        <v>1.175</v>
      </c>
      <c r="Y23" s="5">
        <v>2</v>
      </c>
      <c r="Z23" s="1">
        <v>4</v>
      </c>
      <c r="AA23" s="1">
        <f t="shared" si="0"/>
        <v>8</v>
      </c>
      <c r="AB23" s="1">
        <v>900</v>
      </c>
      <c r="AC23" s="1">
        <f t="shared" si="1"/>
        <v>7200</v>
      </c>
    </row>
    <row r="24" spans="1:29" ht="14" customHeight="1">
      <c r="A24" s="1" t="s">
        <v>134</v>
      </c>
      <c r="B24" t="s">
        <v>135</v>
      </c>
      <c r="C24" s="1" t="s">
        <v>53</v>
      </c>
      <c r="D24" t="s">
        <v>54</v>
      </c>
      <c r="E24" s="1" t="s">
        <v>62</v>
      </c>
      <c r="F24" s="1" t="s">
        <v>56</v>
      </c>
      <c r="G24" s="1">
        <v>0.41</v>
      </c>
      <c r="H24" s="1">
        <v>1300</v>
      </c>
      <c r="I24" s="1">
        <v>30</v>
      </c>
      <c r="J24" s="1">
        <v>22</v>
      </c>
      <c r="K24" s="1">
        <v>0</v>
      </c>
      <c r="L24" s="1">
        <v>10</v>
      </c>
      <c r="M24" s="1">
        <v>62</v>
      </c>
      <c r="N24" s="1">
        <v>75</v>
      </c>
      <c r="O24" s="1">
        <v>0</v>
      </c>
      <c r="P24" s="1">
        <v>1</v>
      </c>
      <c r="Q24" s="1">
        <v>4</v>
      </c>
      <c r="R24" s="5">
        <v>3</v>
      </c>
      <c r="S24" s="1">
        <v>1</v>
      </c>
      <c r="T24" s="1" t="s">
        <v>42</v>
      </c>
      <c r="U24" s="1" t="s">
        <v>136</v>
      </c>
      <c r="V24" s="1">
        <v>30</v>
      </c>
      <c r="W24" s="1">
        <v>170</v>
      </c>
      <c r="X24" s="8">
        <v>0.52939999999999998</v>
      </c>
      <c r="Y24" s="5">
        <v>3</v>
      </c>
      <c r="Z24" s="1">
        <v>2</v>
      </c>
      <c r="AA24" s="1">
        <f t="shared" si="0"/>
        <v>6</v>
      </c>
      <c r="AB24" s="1">
        <v>1300</v>
      </c>
      <c r="AC24" s="1">
        <f t="shared" si="1"/>
        <v>7800</v>
      </c>
    </row>
    <row r="25" spans="1:29" ht="14" customHeight="1">
      <c r="A25" s="1" t="s">
        <v>137</v>
      </c>
      <c r="B25" t="s">
        <v>138</v>
      </c>
      <c r="C25" s="1" t="s">
        <v>85</v>
      </c>
      <c r="D25" t="s">
        <v>86</v>
      </c>
      <c r="E25" s="1" t="s">
        <v>62</v>
      </c>
      <c r="F25" s="1" t="s">
        <v>56</v>
      </c>
      <c r="G25" s="1">
        <v>0.37</v>
      </c>
      <c r="H25" s="1">
        <v>1300</v>
      </c>
      <c r="I25" s="1">
        <v>28</v>
      </c>
      <c r="J25" s="1">
        <v>18</v>
      </c>
      <c r="K25" s="1">
        <v>0</v>
      </c>
      <c r="L25" s="1">
        <v>8</v>
      </c>
      <c r="M25" s="1">
        <v>60</v>
      </c>
      <c r="N25" s="1">
        <v>75</v>
      </c>
      <c r="O25" s="1">
        <v>0</v>
      </c>
      <c r="P25" s="1">
        <v>1</v>
      </c>
      <c r="Q25" s="1">
        <v>4</v>
      </c>
      <c r="R25" s="5">
        <v>4</v>
      </c>
      <c r="S25" s="1">
        <v>1</v>
      </c>
      <c r="T25" s="1" t="s">
        <v>42</v>
      </c>
      <c r="U25" s="1" t="s">
        <v>139</v>
      </c>
      <c r="V25" s="1">
        <v>48</v>
      </c>
      <c r="W25" s="1">
        <v>160</v>
      </c>
      <c r="X25" s="8">
        <v>1.01</v>
      </c>
      <c r="Y25" s="5">
        <v>4</v>
      </c>
      <c r="Z25" s="1">
        <v>2</v>
      </c>
      <c r="AA25" s="1">
        <f t="shared" si="0"/>
        <v>8</v>
      </c>
      <c r="AB25" s="1">
        <v>1300</v>
      </c>
      <c r="AC25" s="1">
        <f t="shared" si="1"/>
        <v>10400</v>
      </c>
    </row>
    <row r="26" spans="1:29" ht="14" customHeight="1">
      <c r="A26" s="1" t="s">
        <v>140</v>
      </c>
      <c r="B26" t="s">
        <v>141</v>
      </c>
      <c r="C26" s="1" t="s">
        <v>95</v>
      </c>
      <c r="D26" t="s">
        <v>96</v>
      </c>
      <c r="E26" s="1" t="s">
        <v>62</v>
      </c>
      <c r="F26" s="1" t="s">
        <v>56</v>
      </c>
      <c r="G26" s="1">
        <v>0.32</v>
      </c>
      <c r="H26" s="1">
        <v>1200</v>
      </c>
      <c r="I26" s="1">
        <v>28</v>
      </c>
      <c r="J26" s="1">
        <v>20</v>
      </c>
      <c r="K26" s="1">
        <v>0</v>
      </c>
      <c r="L26" s="1">
        <v>12</v>
      </c>
      <c r="M26" s="1">
        <v>62</v>
      </c>
      <c r="N26" s="1">
        <v>75</v>
      </c>
      <c r="O26" s="1">
        <v>0</v>
      </c>
      <c r="P26" s="1">
        <v>1</v>
      </c>
      <c r="Q26" s="1">
        <v>4</v>
      </c>
      <c r="R26" s="5">
        <v>2</v>
      </c>
      <c r="S26" s="1">
        <v>1</v>
      </c>
      <c r="T26" s="1" t="s">
        <v>35</v>
      </c>
      <c r="U26" s="1" t="s">
        <v>142</v>
      </c>
      <c r="V26" s="1">
        <v>24</v>
      </c>
      <c r="W26" s="1">
        <v>160</v>
      </c>
      <c r="X26" s="8">
        <v>0.5625</v>
      </c>
      <c r="Y26" s="5">
        <v>2</v>
      </c>
      <c r="Z26" s="1">
        <v>2</v>
      </c>
      <c r="AA26" s="1">
        <f t="shared" si="0"/>
        <v>4</v>
      </c>
      <c r="AB26" s="1">
        <v>1200</v>
      </c>
      <c r="AC26" s="1">
        <f t="shared" si="1"/>
        <v>4800</v>
      </c>
    </row>
    <row r="27" spans="1:29" ht="14" customHeight="1">
      <c r="A27" s="1" t="s">
        <v>143</v>
      </c>
      <c r="B27" t="s">
        <v>144</v>
      </c>
      <c r="C27" s="1" t="s">
        <v>90</v>
      </c>
      <c r="D27" t="s">
        <v>91</v>
      </c>
      <c r="E27" s="1" t="s">
        <v>33</v>
      </c>
      <c r="F27" s="1" t="s">
        <v>34</v>
      </c>
      <c r="G27" s="1">
        <v>0.18</v>
      </c>
      <c r="H27" s="1">
        <v>700</v>
      </c>
      <c r="I27" s="1">
        <v>23</v>
      </c>
      <c r="J27" s="1">
        <v>22</v>
      </c>
      <c r="K27" s="1">
        <v>1.2</v>
      </c>
      <c r="L27" s="1">
        <v>0</v>
      </c>
      <c r="M27" s="1"/>
      <c r="N27" s="1">
        <v>25</v>
      </c>
      <c r="O27" s="1">
        <v>0</v>
      </c>
      <c r="P27" s="1">
        <v>2</v>
      </c>
      <c r="Q27" s="1">
        <v>5</v>
      </c>
      <c r="R27" s="5">
        <v>3</v>
      </c>
      <c r="S27" s="1">
        <v>2</v>
      </c>
      <c r="T27" s="1" t="s">
        <v>35</v>
      </c>
      <c r="U27" t="s">
        <v>145</v>
      </c>
      <c r="V27" s="1">
        <v>237</v>
      </c>
      <c r="W27" s="1">
        <v>160</v>
      </c>
      <c r="X27" s="7">
        <v>1.48</v>
      </c>
      <c r="Y27" s="5">
        <v>3</v>
      </c>
      <c r="Z27" s="1">
        <v>3</v>
      </c>
      <c r="AA27" s="1">
        <f t="shared" si="0"/>
        <v>9</v>
      </c>
      <c r="AB27" s="1">
        <v>700</v>
      </c>
      <c r="AC27" s="1">
        <f t="shared" si="1"/>
        <v>6300</v>
      </c>
    </row>
    <row r="28" spans="1:29" ht="14" customHeight="1">
      <c r="A28" s="1" t="s">
        <v>146</v>
      </c>
      <c r="B28" t="s">
        <v>147</v>
      </c>
      <c r="C28" s="1" t="s">
        <v>99</v>
      </c>
      <c r="D28" t="s">
        <v>100</v>
      </c>
      <c r="E28" s="1" t="s">
        <v>33</v>
      </c>
      <c r="F28" s="1" t="s">
        <v>34</v>
      </c>
      <c r="G28" s="1">
        <v>0.24</v>
      </c>
      <c r="H28" s="1">
        <v>500</v>
      </c>
      <c r="I28" s="1">
        <v>22</v>
      </c>
      <c r="J28" s="1">
        <v>22</v>
      </c>
      <c r="K28" s="1">
        <v>1</v>
      </c>
      <c r="L28" s="1">
        <v>0</v>
      </c>
      <c r="M28" s="1"/>
      <c r="N28" s="1">
        <v>25</v>
      </c>
      <c r="O28" s="1">
        <v>0</v>
      </c>
      <c r="P28" s="1">
        <v>2</v>
      </c>
      <c r="Q28" s="1">
        <v>5</v>
      </c>
      <c r="R28" s="5">
        <v>4</v>
      </c>
      <c r="S28" s="1">
        <v>2</v>
      </c>
      <c r="T28" s="1" t="s">
        <v>35</v>
      </c>
      <c r="U28" t="s">
        <v>101</v>
      </c>
      <c r="V28" s="1">
        <v>256</v>
      </c>
      <c r="W28" s="1">
        <v>160</v>
      </c>
      <c r="X28" s="9">
        <v>1.6</v>
      </c>
      <c r="Y28" s="5">
        <v>4</v>
      </c>
      <c r="Z28" s="1">
        <v>4</v>
      </c>
      <c r="AA28" s="1">
        <f t="shared" si="0"/>
        <v>16</v>
      </c>
      <c r="AB28" s="1">
        <v>500</v>
      </c>
      <c r="AC28" s="1">
        <f t="shared" si="1"/>
        <v>8000</v>
      </c>
    </row>
    <row r="29" spans="1:29" ht="14" customHeight="1">
      <c r="A29" s="1" t="s">
        <v>148</v>
      </c>
      <c r="B29" t="s">
        <v>149</v>
      </c>
      <c r="C29" s="1" t="s">
        <v>121</v>
      </c>
      <c r="D29" t="s">
        <v>122</v>
      </c>
      <c r="E29" s="1" t="s">
        <v>33</v>
      </c>
      <c r="F29" s="1" t="s">
        <v>34</v>
      </c>
      <c r="G29" s="1">
        <v>0.28999999999999998</v>
      </c>
      <c r="H29" s="1">
        <v>700</v>
      </c>
      <c r="I29" s="1">
        <v>24</v>
      </c>
      <c r="J29" s="1">
        <v>24</v>
      </c>
      <c r="K29" s="1">
        <v>1.2</v>
      </c>
      <c r="L29" s="1">
        <v>0</v>
      </c>
      <c r="M29" s="1"/>
      <c r="N29" s="1">
        <v>28</v>
      </c>
      <c r="O29" s="1">
        <v>0</v>
      </c>
      <c r="P29" s="1">
        <v>2</v>
      </c>
      <c r="Q29" s="1">
        <v>5</v>
      </c>
      <c r="R29" s="5">
        <v>2</v>
      </c>
      <c r="S29" s="1">
        <v>2</v>
      </c>
      <c r="T29" s="1" t="s">
        <v>35</v>
      </c>
      <c r="U29" t="s">
        <v>123</v>
      </c>
      <c r="V29" s="1">
        <v>168</v>
      </c>
      <c r="W29" s="1">
        <v>160</v>
      </c>
      <c r="X29" s="8">
        <v>1.05</v>
      </c>
      <c r="Y29" s="5">
        <v>2</v>
      </c>
      <c r="Z29" s="1">
        <v>4</v>
      </c>
      <c r="AA29" s="1">
        <f t="shared" si="0"/>
        <v>8</v>
      </c>
      <c r="AB29" s="1">
        <v>700</v>
      </c>
      <c r="AC29" s="1">
        <f t="shared" si="1"/>
        <v>5600</v>
      </c>
    </row>
    <row r="30" spans="1:29" ht="14" customHeight="1">
      <c r="A30" s="1" t="s">
        <v>150</v>
      </c>
      <c r="B30" t="s">
        <v>151</v>
      </c>
      <c r="C30" s="1" t="s">
        <v>108</v>
      </c>
      <c r="D30" t="s">
        <v>109</v>
      </c>
      <c r="E30" s="1" t="s">
        <v>33</v>
      </c>
      <c r="F30" s="1" t="s">
        <v>34</v>
      </c>
      <c r="G30" s="1">
        <v>0.22</v>
      </c>
      <c r="H30" s="1">
        <v>890</v>
      </c>
      <c r="I30" s="1">
        <v>20</v>
      </c>
      <c r="J30" s="1">
        <v>20</v>
      </c>
      <c r="K30" s="1">
        <v>1</v>
      </c>
      <c r="L30" s="1">
        <v>0</v>
      </c>
      <c r="M30" s="1"/>
      <c r="N30" s="1">
        <v>25</v>
      </c>
      <c r="O30" s="1">
        <v>0</v>
      </c>
      <c r="P30" s="1">
        <v>2</v>
      </c>
      <c r="Q30" s="1">
        <v>5</v>
      </c>
      <c r="R30" s="5">
        <v>3</v>
      </c>
      <c r="S30" s="1">
        <v>2</v>
      </c>
      <c r="T30" s="1" t="s">
        <v>42</v>
      </c>
      <c r="U30" t="s">
        <v>110</v>
      </c>
      <c r="V30" s="1">
        <v>228</v>
      </c>
      <c r="W30" s="1">
        <v>160</v>
      </c>
      <c r="X30" s="8">
        <v>1.425</v>
      </c>
      <c r="Y30" s="5">
        <v>3</v>
      </c>
      <c r="Z30" s="1">
        <v>4</v>
      </c>
      <c r="AA30" s="1">
        <f t="shared" si="0"/>
        <v>12</v>
      </c>
      <c r="AB30" s="1">
        <v>890</v>
      </c>
      <c r="AC30" s="1">
        <f t="shared" si="1"/>
        <v>10680</v>
      </c>
    </row>
    <row r="31" spans="1:29" ht="14" customHeight="1">
      <c r="A31" s="1" t="s">
        <v>152</v>
      </c>
      <c r="B31" t="s">
        <v>153</v>
      </c>
      <c r="C31" s="1" t="s">
        <v>31</v>
      </c>
      <c r="D31" s="1" t="s">
        <v>32</v>
      </c>
      <c r="E31" s="1" t="s">
        <v>33</v>
      </c>
      <c r="F31" s="1" t="s">
        <v>34</v>
      </c>
      <c r="G31" s="1">
        <v>0.18</v>
      </c>
      <c r="H31" s="1">
        <v>990</v>
      </c>
      <c r="I31" s="1">
        <v>22</v>
      </c>
      <c r="J31" s="1">
        <v>18</v>
      </c>
      <c r="K31" s="1">
        <v>1.1000000000000001</v>
      </c>
      <c r="L31" s="1">
        <v>0</v>
      </c>
      <c r="M31" s="1"/>
      <c r="N31" s="1">
        <v>28</v>
      </c>
      <c r="O31" s="1">
        <v>0</v>
      </c>
      <c r="P31" s="1">
        <v>2</v>
      </c>
      <c r="Q31" s="1">
        <v>5</v>
      </c>
      <c r="R31" s="5">
        <v>4</v>
      </c>
      <c r="S31" s="1">
        <v>2</v>
      </c>
      <c r="T31" s="1" t="s">
        <v>42</v>
      </c>
      <c r="U31" s="1" t="s">
        <v>154</v>
      </c>
      <c r="V31" s="1">
        <v>94</v>
      </c>
      <c r="W31" s="1">
        <v>180</v>
      </c>
      <c r="X31" s="2">
        <v>0.52329999999999999</v>
      </c>
      <c r="Y31" s="5">
        <v>4</v>
      </c>
      <c r="Z31" s="1">
        <v>4</v>
      </c>
      <c r="AA31" s="1">
        <f t="shared" si="0"/>
        <v>16</v>
      </c>
      <c r="AB31" s="1">
        <v>990</v>
      </c>
      <c r="AC31" s="1">
        <f t="shared" si="1"/>
        <v>15840</v>
      </c>
    </row>
    <row r="32" spans="1:29" ht="14" customHeight="1">
      <c r="A32" s="1" t="s">
        <v>155</v>
      </c>
      <c r="B32" t="s">
        <v>156</v>
      </c>
      <c r="C32" s="1" t="s">
        <v>39</v>
      </c>
      <c r="D32" t="s">
        <v>40</v>
      </c>
      <c r="E32" s="1" t="s">
        <v>33</v>
      </c>
      <c r="F32" s="1" t="s">
        <v>34</v>
      </c>
      <c r="G32" s="1">
        <v>0.28000000000000003</v>
      </c>
      <c r="H32" s="1">
        <v>600</v>
      </c>
      <c r="I32" s="1">
        <v>22</v>
      </c>
      <c r="J32" s="1">
        <v>18</v>
      </c>
      <c r="K32" s="1">
        <v>0</v>
      </c>
      <c r="L32" s="1">
        <v>0</v>
      </c>
      <c r="M32" s="1"/>
      <c r="N32" s="1">
        <v>28</v>
      </c>
      <c r="O32" s="1">
        <v>0</v>
      </c>
      <c r="P32" s="1">
        <v>2</v>
      </c>
      <c r="Q32" s="1">
        <v>5</v>
      </c>
      <c r="R32" s="5">
        <v>2</v>
      </c>
      <c r="S32" s="1">
        <v>2</v>
      </c>
      <c r="T32" s="1" t="s">
        <v>35</v>
      </c>
      <c r="U32" t="s">
        <v>157</v>
      </c>
      <c r="V32" s="1">
        <v>134</v>
      </c>
      <c r="W32" s="1">
        <v>180</v>
      </c>
      <c r="X32" s="4">
        <v>0.74439999999999995</v>
      </c>
      <c r="Y32" s="5">
        <v>2</v>
      </c>
      <c r="Z32" s="1">
        <v>4</v>
      </c>
      <c r="AA32" s="1">
        <f t="shared" si="0"/>
        <v>8</v>
      </c>
      <c r="AB32" s="1">
        <v>600</v>
      </c>
      <c r="AC32" s="1">
        <f t="shared" si="1"/>
        <v>4800</v>
      </c>
    </row>
    <row r="33" spans="1:29" ht="14" customHeight="1">
      <c r="A33" s="1" t="s">
        <v>158</v>
      </c>
      <c r="B33" t="s">
        <v>159</v>
      </c>
      <c r="C33" s="1" t="s">
        <v>104</v>
      </c>
      <c r="D33" t="s">
        <v>105</v>
      </c>
      <c r="E33" s="1" t="s">
        <v>33</v>
      </c>
      <c r="F33" s="1" t="s">
        <v>56</v>
      </c>
      <c r="G33" s="1">
        <v>0.22</v>
      </c>
      <c r="H33" s="1">
        <v>680</v>
      </c>
      <c r="I33" s="1">
        <v>24</v>
      </c>
      <c r="J33" s="1">
        <v>18</v>
      </c>
      <c r="K33" s="1">
        <v>0</v>
      </c>
      <c r="L33" s="1">
        <v>8</v>
      </c>
      <c r="M33" s="1">
        <v>40</v>
      </c>
      <c r="N33" s="1">
        <v>75</v>
      </c>
      <c r="O33" s="1">
        <v>0</v>
      </c>
      <c r="P33" s="1">
        <v>1</v>
      </c>
      <c r="Q33" s="1">
        <v>4</v>
      </c>
      <c r="R33" s="5">
        <v>3</v>
      </c>
      <c r="S33" s="1">
        <v>1</v>
      </c>
      <c r="T33" s="1" t="s">
        <v>35</v>
      </c>
      <c r="U33" s="1" t="s">
        <v>160</v>
      </c>
      <c r="V33" s="1">
        <v>24</v>
      </c>
      <c r="W33" s="1">
        <v>160</v>
      </c>
      <c r="X33" s="8">
        <v>0.52500000000000002</v>
      </c>
      <c r="Y33" s="5">
        <v>3</v>
      </c>
      <c r="Z33" s="1">
        <v>2</v>
      </c>
      <c r="AA33" s="1">
        <f t="shared" si="0"/>
        <v>6</v>
      </c>
      <c r="AB33" s="1">
        <v>680</v>
      </c>
      <c r="AC33" s="1">
        <f t="shared" si="1"/>
        <v>4080</v>
      </c>
    </row>
    <row r="34" spans="1:29" ht="14" customHeight="1">
      <c r="A34" s="1" t="s">
        <v>161</v>
      </c>
      <c r="B34" t="s">
        <v>162</v>
      </c>
      <c r="C34" s="1" t="s">
        <v>73</v>
      </c>
      <c r="D34" t="s">
        <v>74</v>
      </c>
      <c r="E34" s="1" t="s">
        <v>33</v>
      </c>
      <c r="F34" s="1" t="s">
        <v>34</v>
      </c>
      <c r="G34" s="1">
        <v>0.17</v>
      </c>
      <c r="H34" s="1">
        <v>670</v>
      </c>
      <c r="I34" s="1">
        <v>22</v>
      </c>
      <c r="J34" s="1">
        <v>20</v>
      </c>
      <c r="K34" s="1">
        <v>1</v>
      </c>
      <c r="L34" s="1">
        <v>0</v>
      </c>
      <c r="M34" s="1"/>
      <c r="N34" s="1">
        <v>28</v>
      </c>
      <c r="O34" s="1">
        <v>0</v>
      </c>
      <c r="P34" s="1">
        <v>2</v>
      </c>
      <c r="Q34" s="1">
        <v>5</v>
      </c>
      <c r="R34" s="5">
        <v>4</v>
      </c>
      <c r="S34" s="1">
        <v>2</v>
      </c>
      <c r="T34" s="1" t="s">
        <v>35</v>
      </c>
      <c r="U34" t="s">
        <v>126</v>
      </c>
      <c r="V34" s="1">
        <v>332</v>
      </c>
      <c r="W34" s="1">
        <v>170</v>
      </c>
      <c r="X34" s="8">
        <v>1.952</v>
      </c>
      <c r="Y34" s="5">
        <v>4</v>
      </c>
      <c r="Z34" s="1">
        <v>3</v>
      </c>
      <c r="AA34" s="1">
        <f t="shared" si="0"/>
        <v>12</v>
      </c>
      <c r="AB34" s="1">
        <v>670</v>
      </c>
      <c r="AC34" s="1">
        <f t="shared" si="1"/>
        <v>8040</v>
      </c>
    </row>
    <row r="35" spans="1:29" ht="14" customHeight="1">
      <c r="A35" s="1" t="s">
        <v>163</v>
      </c>
      <c r="B35" t="s">
        <v>164</v>
      </c>
      <c r="C35" s="1" t="s">
        <v>46</v>
      </c>
      <c r="D35" t="s">
        <v>47</v>
      </c>
      <c r="E35" s="1" t="s">
        <v>70</v>
      </c>
      <c r="F35" s="1" t="s">
        <v>34</v>
      </c>
      <c r="G35" s="1">
        <v>0.24</v>
      </c>
      <c r="H35" s="1">
        <v>700</v>
      </c>
      <c r="I35" s="1">
        <v>23</v>
      </c>
      <c r="J35" s="1">
        <v>20</v>
      </c>
      <c r="K35" s="1">
        <v>1</v>
      </c>
      <c r="L35" s="1">
        <v>0</v>
      </c>
      <c r="M35" s="1"/>
      <c r="N35" s="1">
        <v>28</v>
      </c>
      <c r="O35" s="1">
        <v>0</v>
      </c>
      <c r="P35" s="1">
        <v>2</v>
      </c>
      <c r="Q35" s="1">
        <v>5</v>
      </c>
      <c r="R35" s="5">
        <v>2</v>
      </c>
      <c r="S35" s="1">
        <v>2</v>
      </c>
      <c r="T35" s="1" t="s">
        <v>35</v>
      </c>
      <c r="U35" t="s">
        <v>113</v>
      </c>
      <c r="V35" s="7" t="s">
        <v>50</v>
      </c>
      <c r="W35" s="1">
        <v>170</v>
      </c>
      <c r="X35" s="8">
        <v>1.0235000000000001</v>
      </c>
      <c r="Y35" s="5">
        <v>2</v>
      </c>
      <c r="Z35" s="1">
        <v>3</v>
      </c>
      <c r="AA35" s="1">
        <f t="shared" si="0"/>
        <v>6</v>
      </c>
      <c r="AB35" s="1">
        <v>700</v>
      </c>
      <c r="AC35" s="1">
        <f t="shared" si="1"/>
        <v>4200</v>
      </c>
    </row>
    <row r="36" spans="1:29" ht="14" customHeight="1">
      <c r="A36" s="1" t="s">
        <v>165</v>
      </c>
      <c r="B36" t="s">
        <v>166</v>
      </c>
      <c r="C36" t="s">
        <v>60</v>
      </c>
      <c r="D36" t="s">
        <v>61</v>
      </c>
      <c r="E36" s="1" t="s">
        <v>33</v>
      </c>
      <c r="F36" s="1" t="s">
        <v>34</v>
      </c>
      <c r="G36" s="1">
        <v>0.21</v>
      </c>
      <c r="H36" s="1">
        <v>800</v>
      </c>
      <c r="I36" s="1">
        <v>24</v>
      </c>
      <c r="J36" s="1">
        <v>20</v>
      </c>
      <c r="K36" s="1">
        <v>1</v>
      </c>
      <c r="L36" s="1">
        <v>0</v>
      </c>
      <c r="M36" s="1"/>
      <c r="N36" s="1">
        <v>28</v>
      </c>
      <c r="O36" s="1">
        <v>0</v>
      </c>
      <c r="P36" s="1">
        <v>2</v>
      </c>
      <c r="Q36" s="1">
        <v>5</v>
      </c>
      <c r="R36" s="5">
        <v>3</v>
      </c>
      <c r="S36" s="1">
        <v>2</v>
      </c>
      <c r="T36" s="1" t="s">
        <v>42</v>
      </c>
      <c r="U36" t="s">
        <v>131</v>
      </c>
      <c r="V36" s="1">
        <v>282</v>
      </c>
      <c r="W36" s="1">
        <v>160</v>
      </c>
      <c r="X36" s="4">
        <v>1.76</v>
      </c>
      <c r="Y36" s="5">
        <v>3</v>
      </c>
      <c r="Z36" s="1">
        <v>4</v>
      </c>
      <c r="AA36" s="1">
        <f t="shared" si="0"/>
        <v>12</v>
      </c>
      <c r="AB36" s="1">
        <v>800</v>
      </c>
      <c r="AC36" s="1">
        <f t="shared" si="1"/>
        <v>9600</v>
      </c>
    </row>
    <row r="37" spans="1:29" ht="14" customHeight="1">
      <c r="A37" s="1" t="s">
        <v>167</v>
      </c>
      <c r="B37" t="s">
        <v>168</v>
      </c>
      <c r="C37" s="1" t="s">
        <v>79</v>
      </c>
      <c r="D37" t="s">
        <v>80</v>
      </c>
      <c r="E37" s="1" t="s">
        <v>33</v>
      </c>
      <c r="F37" s="1" t="s">
        <v>56</v>
      </c>
      <c r="G37" s="1">
        <v>0.22</v>
      </c>
      <c r="H37" s="1">
        <v>1400</v>
      </c>
      <c r="I37" s="1">
        <v>25</v>
      </c>
      <c r="J37" s="1">
        <v>22</v>
      </c>
      <c r="K37" s="1">
        <v>0</v>
      </c>
      <c r="L37" s="1">
        <v>8</v>
      </c>
      <c r="M37" s="1"/>
      <c r="N37" s="1">
        <v>75</v>
      </c>
      <c r="O37" s="1">
        <v>0</v>
      </c>
      <c r="P37" s="1">
        <v>1</v>
      </c>
      <c r="Q37" s="1">
        <v>4</v>
      </c>
      <c r="R37" s="5">
        <v>4</v>
      </c>
      <c r="S37" s="1">
        <v>1</v>
      </c>
      <c r="T37" s="1" t="s">
        <v>42</v>
      </c>
      <c r="U37" s="1" t="s">
        <v>169</v>
      </c>
      <c r="V37" s="1">
        <v>32</v>
      </c>
      <c r="W37" s="1">
        <v>180</v>
      </c>
      <c r="X37" s="8">
        <v>0.5222</v>
      </c>
      <c r="Y37" s="5">
        <v>4</v>
      </c>
      <c r="Z37" s="1">
        <v>2</v>
      </c>
      <c r="AA37" s="1">
        <f t="shared" si="0"/>
        <v>8</v>
      </c>
      <c r="AB37" s="1">
        <v>1400</v>
      </c>
      <c r="AC37" s="1">
        <f t="shared" si="1"/>
        <v>11200</v>
      </c>
    </row>
    <row r="38" spans="1:29" ht="14" customHeight="1">
      <c r="A38" s="1" t="s">
        <v>170</v>
      </c>
      <c r="B38" t="s">
        <v>171</v>
      </c>
      <c r="C38" s="1" t="s">
        <v>85</v>
      </c>
      <c r="D38" t="s">
        <v>86</v>
      </c>
      <c r="E38" s="1" t="s">
        <v>33</v>
      </c>
      <c r="F38" s="1" t="s">
        <v>56</v>
      </c>
      <c r="G38" s="1">
        <v>0.18</v>
      </c>
      <c r="H38" s="1">
        <v>700</v>
      </c>
      <c r="I38" s="1">
        <v>24</v>
      </c>
      <c r="J38" s="1">
        <v>21</v>
      </c>
      <c r="K38" s="1">
        <v>0</v>
      </c>
      <c r="L38" s="1">
        <v>8</v>
      </c>
      <c r="M38" s="1">
        <v>37</v>
      </c>
      <c r="N38" s="1">
        <v>75</v>
      </c>
      <c r="O38" s="1">
        <v>0</v>
      </c>
      <c r="P38" s="1">
        <v>2</v>
      </c>
      <c r="Q38" s="1">
        <v>5</v>
      </c>
      <c r="R38" s="5">
        <v>2</v>
      </c>
      <c r="S38" s="1">
        <v>1</v>
      </c>
      <c r="T38" s="1" t="s">
        <v>35</v>
      </c>
      <c r="U38" s="1" t="s">
        <v>87</v>
      </c>
      <c r="V38" s="1">
        <v>16</v>
      </c>
      <c r="W38" s="1">
        <v>160</v>
      </c>
      <c r="X38" s="8">
        <v>1.01</v>
      </c>
      <c r="Y38" s="5">
        <v>2</v>
      </c>
      <c r="Z38" s="1">
        <v>2</v>
      </c>
      <c r="AA38" s="1">
        <f t="shared" si="0"/>
        <v>4</v>
      </c>
      <c r="AB38" s="1">
        <v>700</v>
      </c>
      <c r="AC38" s="1">
        <f t="shared" si="1"/>
        <v>2800</v>
      </c>
    </row>
    <row r="39" spans="1:29" ht="14" customHeight="1">
      <c r="A39" s="1" t="s">
        <v>172</v>
      </c>
      <c r="B39" t="s">
        <v>173</v>
      </c>
      <c r="C39" s="1" t="s">
        <v>53</v>
      </c>
      <c r="D39" t="s">
        <v>54</v>
      </c>
      <c r="E39" s="1" t="s">
        <v>33</v>
      </c>
      <c r="F39" s="1" t="s">
        <v>56</v>
      </c>
      <c r="G39" s="1">
        <v>0.12</v>
      </c>
      <c r="H39" s="1">
        <v>700</v>
      </c>
      <c r="I39" s="1">
        <v>23</v>
      </c>
      <c r="J39" s="1">
        <v>22</v>
      </c>
      <c r="K39" s="1">
        <v>0</v>
      </c>
      <c r="L39" s="1">
        <v>8</v>
      </c>
      <c r="M39" s="1">
        <v>35</v>
      </c>
      <c r="N39" s="1">
        <v>75</v>
      </c>
      <c r="O39" s="1">
        <v>0</v>
      </c>
      <c r="P39" s="1">
        <v>1</v>
      </c>
      <c r="Q39" s="1">
        <v>4</v>
      </c>
      <c r="R39" s="5">
        <v>3</v>
      </c>
      <c r="S39" s="1">
        <v>1</v>
      </c>
      <c r="T39" s="1" t="s">
        <v>35</v>
      </c>
      <c r="U39" s="1" t="s">
        <v>160</v>
      </c>
      <c r="V39" s="1">
        <v>24</v>
      </c>
      <c r="W39" s="1">
        <v>170</v>
      </c>
      <c r="X39" s="8">
        <v>0.52939999999999998</v>
      </c>
      <c r="Y39" s="5">
        <v>3</v>
      </c>
      <c r="Z39" s="1">
        <v>2</v>
      </c>
      <c r="AA39" s="1">
        <f t="shared" si="0"/>
        <v>6</v>
      </c>
      <c r="AB39" s="1">
        <v>700</v>
      </c>
      <c r="AC39" s="1">
        <f t="shared" si="1"/>
        <v>4200</v>
      </c>
    </row>
    <row r="40" spans="1:29" ht="28" customHeight="1">
      <c r="A40" s="1" t="s">
        <v>174</v>
      </c>
      <c r="B40" t="s">
        <v>175</v>
      </c>
      <c r="C40" s="1" t="s">
        <v>85</v>
      </c>
      <c r="D40" t="s">
        <v>86</v>
      </c>
      <c r="E40" s="1" t="s">
        <v>76</v>
      </c>
      <c r="F40" s="1" t="s">
        <v>56</v>
      </c>
      <c r="G40" s="1">
        <v>0.46</v>
      </c>
      <c r="H40" s="1">
        <v>1200</v>
      </c>
      <c r="I40" s="1">
        <v>27</v>
      </c>
      <c r="J40" s="1">
        <v>23</v>
      </c>
      <c r="K40" s="1">
        <v>1.2</v>
      </c>
      <c r="L40" s="1">
        <v>10</v>
      </c>
      <c r="M40" s="1">
        <v>65</v>
      </c>
      <c r="N40" s="1">
        <v>75</v>
      </c>
      <c r="O40" s="1">
        <v>0</v>
      </c>
      <c r="P40" s="1">
        <v>1</v>
      </c>
      <c r="Q40" s="1">
        <v>4</v>
      </c>
      <c r="R40" s="5">
        <v>4</v>
      </c>
      <c r="S40" s="1">
        <v>1</v>
      </c>
      <c r="T40" s="1" t="s">
        <v>42</v>
      </c>
      <c r="U40" s="1" t="s">
        <v>176</v>
      </c>
      <c r="V40" s="1">
        <v>40</v>
      </c>
      <c r="W40" s="1">
        <v>160</v>
      </c>
      <c r="X40" s="8">
        <v>1.01</v>
      </c>
      <c r="Y40" s="5">
        <v>4</v>
      </c>
      <c r="Z40" s="1">
        <v>2</v>
      </c>
      <c r="AA40" s="1">
        <f t="shared" si="0"/>
        <v>8</v>
      </c>
      <c r="AB40" s="1">
        <v>1200</v>
      </c>
      <c r="AC40" s="1">
        <f t="shared" si="1"/>
        <v>9600</v>
      </c>
    </row>
    <row r="41" spans="1:29" ht="28" customHeight="1">
      <c r="A41" s="1" t="s">
        <v>177</v>
      </c>
      <c r="B41" t="s">
        <v>178</v>
      </c>
      <c r="C41" s="1" t="s">
        <v>95</v>
      </c>
      <c r="D41" t="s">
        <v>96</v>
      </c>
      <c r="E41" s="1" t="s">
        <v>76</v>
      </c>
      <c r="F41" s="1" t="s">
        <v>56</v>
      </c>
      <c r="G41" s="1">
        <v>0.54</v>
      </c>
      <c r="H41" s="1">
        <v>1300</v>
      </c>
      <c r="I41" s="1">
        <v>27</v>
      </c>
      <c r="J41" s="1">
        <v>25</v>
      </c>
      <c r="K41" s="1">
        <v>1.5</v>
      </c>
      <c r="L41" s="1">
        <v>10</v>
      </c>
      <c r="M41" s="1">
        <v>68</v>
      </c>
      <c r="N41" s="1">
        <v>75</v>
      </c>
      <c r="O41" s="1">
        <v>0</v>
      </c>
      <c r="P41" s="1">
        <v>1</v>
      </c>
      <c r="Q41" s="1">
        <v>4</v>
      </c>
      <c r="R41" s="5">
        <v>2</v>
      </c>
      <c r="S41" s="1">
        <v>1</v>
      </c>
      <c r="T41" s="1" t="s">
        <v>42</v>
      </c>
      <c r="U41" s="1" t="s">
        <v>82</v>
      </c>
      <c r="V41" s="1">
        <v>20</v>
      </c>
      <c r="W41" s="1">
        <v>160</v>
      </c>
      <c r="X41" s="8">
        <v>0.5625</v>
      </c>
      <c r="Y41" s="5">
        <v>2</v>
      </c>
      <c r="Z41" s="1">
        <v>2</v>
      </c>
      <c r="AA41" s="1">
        <f t="shared" si="0"/>
        <v>4</v>
      </c>
      <c r="AB41" s="1">
        <v>1300</v>
      </c>
      <c r="AC41" s="1">
        <f t="shared" si="1"/>
        <v>5200</v>
      </c>
    </row>
    <row r="42" spans="1:29" ht="28" customHeight="1">
      <c r="A42" s="1" t="s">
        <v>179</v>
      </c>
      <c r="B42" t="s">
        <v>180</v>
      </c>
      <c r="C42" s="1" t="s">
        <v>104</v>
      </c>
      <c r="D42" t="s">
        <v>105</v>
      </c>
      <c r="E42" s="1" t="s">
        <v>76</v>
      </c>
      <c r="F42" s="1" t="s">
        <v>56</v>
      </c>
      <c r="G42" s="1">
        <v>0.42</v>
      </c>
      <c r="H42" s="1">
        <v>1400</v>
      </c>
      <c r="I42" s="1">
        <v>26</v>
      </c>
      <c r="J42" s="1">
        <v>17</v>
      </c>
      <c r="K42" s="1">
        <v>1.4</v>
      </c>
      <c r="L42" s="1">
        <v>8</v>
      </c>
      <c r="M42" s="1">
        <v>72</v>
      </c>
      <c r="N42" s="1">
        <v>75</v>
      </c>
      <c r="O42" s="1">
        <v>0</v>
      </c>
      <c r="P42" s="1">
        <v>1</v>
      </c>
      <c r="Q42" s="1">
        <v>4</v>
      </c>
      <c r="R42" s="5">
        <v>3</v>
      </c>
      <c r="S42" s="1">
        <v>1</v>
      </c>
      <c r="T42" s="1" t="s">
        <v>42</v>
      </c>
      <c r="U42" s="1" t="s">
        <v>160</v>
      </c>
      <c r="V42" s="1">
        <v>24</v>
      </c>
      <c r="W42" s="1">
        <v>160</v>
      </c>
      <c r="X42" s="8">
        <v>0.52500000000000002</v>
      </c>
      <c r="Y42" s="5">
        <v>3</v>
      </c>
      <c r="Z42" s="1">
        <v>2</v>
      </c>
      <c r="AA42" s="1">
        <f t="shared" si="0"/>
        <v>6</v>
      </c>
      <c r="AB42" s="1">
        <v>1400</v>
      </c>
      <c r="AC42" s="1">
        <f t="shared" si="1"/>
        <v>8400</v>
      </c>
    </row>
    <row r="43" spans="1:29" ht="28" customHeight="1">
      <c r="A43" s="1" t="s">
        <v>181</v>
      </c>
      <c r="B43" t="s">
        <v>182</v>
      </c>
      <c r="C43" s="1" t="s">
        <v>79</v>
      </c>
      <c r="D43" t="s">
        <v>80</v>
      </c>
      <c r="E43" s="1" t="s">
        <v>76</v>
      </c>
      <c r="F43" s="1" t="s">
        <v>56</v>
      </c>
      <c r="G43" s="1">
        <v>0.55000000000000004</v>
      </c>
      <c r="H43" s="1">
        <v>1200</v>
      </c>
      <c r="I43" s="1">
        <v>25</v>
      </c>
      <c r="J43" s="1">
        <v>18</v>
      </c>
      <c r="K43" s="1">
        <v>1.2</v>
      </c>
      <c r="L43" s="1">
        <v>8</v>
      </c>
      <c r="M43" s="1">
        <v>68</v>
      </c>
      <c r="N43" s="1">
        <v>75</v>
      </c>
      <c r="O43" s="1">
        <v>1</v>
      </c>
      <c r="P43" s="1">
        <v>1</v>
      </c>
      <c r="Q43" s="1">
        <v>4</v>
      </c>
      <c r="R43" s="5">
        <v>4</v>
      </c>
      <c r="S43" s="1">
        <v>1</v>
      </c>
      <c r="T43" s="1" t="s">
        <v>35</v>
      </c>
      <c r="U43" s="1" t="s">
        <v>169</v>
      </c>
      <c r="V43" s="1">
        <v>32</v>
      </c>
      <c r="W43" s="1">
        <v>180</v>
      </c>
      <c r="X43" s="8">
        <v>0.5222</v>
      </c>
      <c r="Y43" s="5">
        <v>4</v>
      </c>
      <c r="Z43" s="1">
        <v>2</v>
      </c>
      <c r="AA43" s="1">
        <f t="shared" si="0"/>
        <v>8</v>
      </c>
      <c r="AB43" s="1">
        <v>1200</v>
      </c>
      <c r="AC43" s="1">
        <f t="shared" si="1"/>
        <v>9600</v>
      </c>
    </row>
    <row r="44" spans="1:29">
      <c r="A44" s="1" t="s">
        <v>183</v>
      </c>
      <c r="B44" t="s">
        <v>184</v>
      </c>
      <c r="C44" s="1" t="s">
        <v>53</v>
      </c>
      <c r="D44" t="s">
        <v>54</v>
      </c>
      <c r="E44" s="1" t="s">
        <v>33</v>
      </c>
      <c r="F44" s="1" t="s">
        <v>56</v>
      </c>
      <c r="G44" s="1">
        <v>0.56999999999999995</v>
      </c>
      <c r="H44" s="1">
        <v>1100</v>
      </c>
      <c r="I44" s="1">
        <v>30</v>
      </c>
      <c r="J44" s="1">
        <v>21</v>
      </c>
      <c r="K44" s="1">
        <v>2.2999999999999998</v>
      </c>
      <c r="L44" s="1">
        <v>10</v>
      </c>
      <c r="M44" s="1">
        <v>69</v>
      </c>
      <c r="N44" s="1">
        <v>75</v>
      </c>
      <c r="O44" s="1">
        <v>1</v>
      </c>
      <c r="P44" s="1">
        <v>1</v>
      </c>
      <c r="Q44" s="1">
        <v>4</v>
      </c>
      <c r="R44" s="5">
        <v>2</v>
      </c>
      <c r="S44" s="1">
        <v>1</v>
      </c>
      <c r="T44" s="1" t="s">
        <v>42</v>
      </c>
      <c r="U44" s="1" t="s">
        <v>82</v>
      </c>
      <c r="V44" s="1">
        <v>20</v>
      </c>
      <c r="W44" s="1">
        <v>170</v>
      </c>
      <c r="X44" s="8">
        <v>0.52939999999999998</v>
      </c>
      <c r="Y44" s="5">
        <v>2</v>
      </c>
      <c r="Z44" s="1">
        <v>2</v>
      </c>
      <c r="AA44" s="1">
        <f t="shared" si="0"/>
        <v>4</v>
      </c>
      <c r="AB44" s="1">
        <v>1100</v>
      </c>
      <c r="AC44" s="1">
        <f t="shared" si="1"/>
        <v>4400</v>
      </c>
    </row>
    <row r="45" spans="1:29" ht="29">
      <c r="A45" s="1" t="s">
        <v>185</v>
      </c>
      <c r="B45" t="s">
        <v>186</v>
      </c>
      <c r="C45" s="1" t="s">
        <v>85</v>
      </c>
      <c r="D45" t="s">
        <v>86</v>
      </c>
      <c r="E45" s="1" t="s">
        <v>76</v>
      </c>
      <c r="F45" s="1" t="s">
        <v>56</v>
      </c>
      <c r="G45" s="1">
        <v>0.52</v>
      </c>
      <c r="H45" s="1">
        <v>1200</v>
      </c>
      <c r="I45" s="1">
        <v>24</v>
      </c>
      <c r="J45" s="1">
        <v>22</v>
      </c>
      <c r="K45" s="1">
        <v>2</v>
      </c>
      <c r="L45" s="1">
        <v>9</v>
      </c>
      <c r="M45" s="1">
        <v>73</v>
      </c>
      <c r="N45" s="1">
        <v>75</v>
      </c>
      <c r="O45" s="1">
        <v>0</v>
      </c>
      <c r="P45" s="1">
        <v>1</v>
      </c>
      <c r="Q45" s="1">
        <v>4</v>
      </c>
      <c r="R45" s="5">
        <v>3</v>
      </c>
      <c r="S45" s="1">
        <v>1</v>
      </c>
      <c r="T45" s="1" t="s">
        <v>35</v>
      </c>
      <c r="U45" s="1" t="s">
        <v>187</v>
      </c>
      <c r="V45" s="1">
        <v>27</v>
      </c>
      <c r="W45" s="1">
        <v>160</v>
      </c>
      <c r="X45" s="8">
        <v>1.01</v>
      </c>
      <c r="Y45" s="5">
        <v>3</v>
      </c>
      <c r="Z45" s="1">
        <v>2</v>
      </c>
      <c r="AA45" s="1">
        <f t="shared" si="0"/>
        <v>6</v>
      </c>
      <c r="AB45" s="1">
        <v>1200</v>
      </c>
      <c r="AC45" s="1">
        <f t="shared" si="1"/>
        <v>7200</v>
      </c>
    </row>
    <row r="46" spans="1:29" ht="29">
      <c r="A46" s="1" t="s">
        <v>188</v>
      </c>
      <c r="B46" t="s">
        <v>189</v>
      </c>
      <c r="C46" s="1" t="s">
        <v>95</v>
      </c>
      <c r="D46" t="s">
        <v>96</v>
      </c>
      <c r="E46" s="1" t="s">
        <v>76</v>
      </c>
      <c r="F46" s="1" t="s">
        <v>56</v>
      </c>
      <c r="G46" s="1">
        <v>0.56999999999999995</v>
      </c>
      <c r="H46" s="1">
        <v>1200</v>
      </c>
      <c r="I46" s="1">
        <v>32</v>
      </c>
      <c r="J46" s="1">
        <v>22</v>
      </c>
      <c r="K46" s="1">
        <v>2.1</v>
      </c>
      <c r="L46" s="1">
        <v>10</v>
      </c>
      <c r="M46" s="1">
        <v>75</v>
      </c>
      <c r="N46" s="1">
        <v>75</v>
      </c>
      <c r="O46" s="1">
        <v>1</v>
      </c>
      <c r="P46" s="1">
        <v>1</v>
      </c>
      <c r="Q46" s="1">
        <v>3</v>
      </c>
      <c r="R46" s="5">
        <v>3</v>
      </c>
      <c r="S46" s="1">
        <v>1</v>
      </c>
      <c r="T46" s="1" t="s">
        <v>42</v>
      </c>
      <c r="U46" s="1" t="s">
        <v>136</v>
      </c>
      <c r="V46" s="1">
        <v>30</v>
      </c>
      <c r="W46" s="1">
        <v>160</v>
      </c>
      <c r="X46" s="8">
        <v>0.5625</v>
      </c>
      <c r="Y46" s="5">
        <v>3</v>
      </c>
      <c r="Z46" s="1">
        <v>2</v>
      </c>
      <c r="AA46" s="1">
        <f t="shared" si="0"/>
        <v>6</v>
      </c>
      <c r="AB46" s="1">
        <v>1200</v>
      </c>
      <c r="AC46" s="1">
        <f t="shared" si="1"/>
        <v>7200</v>
      </c>
    </row>
    <row r="47" spans="1:29" ht="29">
      <c r="A47" s="1" t="s">
        <v>190</v>
      </c>
      <c r="B47" t="s">
        <v>191</v>
      </c>
      <c r="C47" s="1" t="s">
        <v>104</v>
      </c>
      <c r="D47" t="s">
        <v>105</v>
      </c>
      <c r="E47" s="1" t="s">
        <v>76</v>
      </c>
      <c r="F47" s="1" t="s">
        <v>56</v>
      </c>
      <c r="G47" s="1">
        <v>0.48</v>
      </c>
      <c r="H47" s="1">
        <v>1300</v>
      </c>
      <c r="I47" s="1">
        <v>32</v>
      </c>
      <c r="J47" s="1">
        <v>23</v>
      </c>
      <c r="K47" s="1">
        <v>2.2000000000000002</v>
      </c>
      <c r="L47" s="1">
        <v>10</v>
      </c>
      <c r="M47" s="1">
        <v>75</v>
      </c>
      <c r="N47" s="1">
        <v>75</v>
      </c>
      <c r="O47" s="1">
        <v>0</v>
      </c>
      <c r="P47" s="1">
        <v>1</v>
      </c>
      <c r="Q47" s="1">
        <v>3</v>
      </c>
      <c r="R47" s="5">
        <v>2</v>
      </c>
      <c r="S47" s="1">
        <v>2</v>
      </c>
      <c r="T47" s="1" t="s">
        <v>42</v>
      </c>
      <c r="U47" s="1" t="s">
        <v>82</v>
      </c>
      <c r="V47" s="1">
        <v>20</v>
      </c>
      <c r="W47" s="1">
        <v>160</v>
      </c>
      <c r="X47" s="8">
        <v>0.52500000000000002</v>
      </c>
      <c r="Y47" s="5">
        <v>2</v>
      </c>
      <c r="Z47" s="1">
        <v>2</v>
      </c>
      <c r="AA47" s="1">
        <f t="shared" si="0"/>
        <v>4</v>
      </c>
      <c r="AB47" s="1">
        <v>1300</v>
      </c>
      <c r="AC47" s="1">
        <f t="shared" si="1"/>
        <v>5200</v>
      </c>
    </row>
    <row r="48" spans="1:29">
      <c r="A48" s="1" t="s">
        <v>192</v>
      </c>
      <c r="B48" t="s">
        <v>193</v>
      </c>
      <c r="C48" s="1" t="s">
        <v>90</v>
      </c>
      <c r="D48" t="s">
        <v>91</v>
      </c>
      <c r="E48" s="1" t="s">
        <v>62</v>
      </c>
      <c r="F48" s="1" t="s">
        <v>34</v>
      </c>
      <c r="G48" s="1">
        <v>0.42</v>
      </c>
      <c r="H48" s="1">
        <v>1200</v>
      </c>
      <c r="I48" s="1">
        <v>32</v>
      </c>
      <c r="J48" s="1">
        <v>22</v>
      </c>
      <c r="K48" s="1">
        <v>2</v>
      </c>
      <c r="L48" s="1">
        <v>0</v>
      </c>
      <c r="M48" s="1"/>
      <c r="N48" s="1">
        <v>28</v>
      </c>
      <c r="O48" s="1">
        <v>1</v>
      </c>
      <c r="P48" s="1">
        <v>2</v>
      </c>
      <c r="Q48" s="1">
        <v>4</v>
      </c>
      <c r="R48" s="5">
        <v>3</v>
      </c>
      <c r="S48" s="1">
        <v>2</v>
      </c>
      <c r="T48" s="1" t="s">
        <v>35</v>
      </c>
      <c r="U48" t="s">
        <v>145</v>
      </c>
      <c r="V48" s="1">
        <v>237</v>
      </c>
      <c r="W48" s="1">
        <v>160</v>
      </c>
      <c r="X48" s="7">
        <v>1.48</v>
      </c>
      <c r="Y48" s="5">
        <v>3</v>
      </c>
      <c r="Z48" s="1">
        <v>4</v>
      </c>
      <c r="AA48" s="1">
        <f t="shared" si="0"/>
        <v>12</v>
      </c>
      <c r="AB48" s="1">
        <v>1200</v>
      </c>
      <c r="AC48" s="1">
        <f t="shared" si="1"/>
        <v>14400</v>
      </c>
    </row>
    <row r="49" spans="1:29">
      <c r="A49" s="1" t="s">
        <v>194</v>
      </c>
      <c r="B49" t="s">
        <v>195</v>
      </c>
      <c r="C49" s="1" t="s">
        <v>99</v>
      </c>
      <c r="D49" t="s">
        <v>100</v>
      </c>
      <c r="E49" s="1" t="s">
        <v>62</v>
      </c>
      <c r="F49" s="1" t="s">
        <v>34</v>
      </c>
      <c r="G49" s="1">
        <v>0.45</v>
      </c>
      <c r="H49" s="1">
        <v>500</v>
      </c>
      <c r="I49" s="1">
        <v>28</v>
      </c>
      <c r="J49" s="1">
        <v>17</v>
      </c>
      <c r="K49" s="1">
        <v>2</v>
      </c>
      <c r="L49" s="1">
        <v>0</v>
      </c>
      <c r="M49" s="1"/>
      <c r="N49" s="1">
        <v>28</v>
      </c>
      <c r="O49" s="1">
        <v>1</v>
      </c>
      <c r="P49" s="1">
        <v>2</v>
      </c>
      <c r="Q49" s="1">
        <v>5</v>
      </c>
      <c r="R49" s="5">
        <v>4</v>
      </c>
      <c r="S49" s="1">
        <v>2</v>
      </c>
      <c r="T49" s="1" t="s">
        <v>35</v>
      </c>
      <c r="U49" t="s">
        <v>196</v>
      </c>
      <c r="V49" s="1">
        <v>256</v>
      </c>
      <c r="W49" s="1">
        <v>160</v>
      </c>
      <c r="X49" s="9">
        <v>1.6</v>
      </c>
      <c r="Y49" s="5">
        <v>4</v>
      </c>
      <c r="Z49" s="1">
        <v>4</v>
      </c>
      <c r="AA49" s="1">
        <f t="shared" si="0"/>
        <v>16</v>
      </c>
      <c r="AB49" s="1">
        <v>500</v>
      </c>
      <c r="AC49" s="1">
        <f t="shared" si="1"/>
        <v>8000</v>
      </c>
    </row>
    <row r="50" spans="1:29">
      <c r="A50" s="1" t="s">
        <v>197</v>
      </c>
      <c r="B50" t="s">
        <v>198</v>
      </c>
      <c r="C50" s="1" t="s">
        <v>121</v>
      </c>
      <c r="D50" t="s">
        <v>122</v>
      </c>
      <c r="E50" s="1" t="s">
        <v>62</v>
      </c>
      <c r="F50" s="1" t="s">
        <v>34</v>
      </c>
      <c r="G50" s="1">
        <v>0.41</v>
      </c>
      <c r="H50" s="1">
        <v>800</v>
      </c>
      <c r="I50" s="1">
        <v>32</v>
      </c>
      <c r="J50" s="1">
        <v>18</v>
      </c>
      <c r="K50" s="1">
        <v>2</v>
      </c>
      <c r="L50" s="1">
        <v>0</v>
      </c>
      <c r="M50" s="1"/>
      <c r="N50" s="1">
        <v>28</v>
      </c>
      <c r="O50" s="1">
        <v>1</v>
      </c>
      <c r="P50" s="1">
        <v>2</v>
      </c>
      <c r="Q50" s="1">
        <v>4</v>
      </c>
      <c r="R50" s="5">
        <v>2</v>
      </c>
      <c r="S50" s="1">
        <v>2</v>
      </c>
      <c r="T50" s="1" t="s">
        <v>35</v>
      </c>
      <c r="U50" t="s">
        <v>123</v>
      </c>
      <c r="V50" s="1">
        <v>168</v>
      </c>
      <c r="W50" s="1">
        <v>160</v>
      </c>
      <c r="X50" s="8">
        <v>1.05</v>
      </c>
      <c r="Y50" s="5">
        <v>2</v>
      </c>
      <c r="Z50" s="1">
        <v>4</v>
      </c>
      <c r="AA50" s="1">
        <f t="shared" si="0"/>
        <v>8</v>
      </c>
      <c r="AB50" s="1">
        <v>800</v>
      </c>
      <c r="AC50" s="1">
        <f t="shared" si="1"/>
        <v>6400</v>
      </c>
    </row>
    <row r="51" spans="1:29">
      <c r="A51" s="1" t="s">
        <v>199</v>
      </c>
      <c r="B51" t="s">
        <v>200</v>
      </c>
      <c r="C51" s="1" t="s">
        <v>108</v>
      </c>
      <c r="D51" t="s">
        <v>109</v>
      </c>
      <c r="E51" s="1" t="s">
        <v>62</v>
      </c>
      <c r="F51" s="1" t="s">
        <v>34</v>
      </c>
      <c r="G51" s="1">
        <v>0.45</v>
      </c>
      <c r="H51" s="1">
        <v>900</v>
      </c>
      <c r="I51" s="1">
        <v>26</v>
      </c>
      <c r="J51" s="1">
        <v>22</v>
      </c>
      <c r="K51" s="1">
        <v>2</v>
      </c>
      <c r="L51" s="1">
        <v>0</v>
      </c>
      <c r="M51" s="1"/>
      <c r="N51" s="1">
        <v>28</v>
      </c>
      <c r="O51" s="1">
        <v>1</v>
      </c>
      <c r="P51" s="1">
        <v>2</v>
      </c>
      <c r="Q51" s="1">
        <v>4</v>
      </c>
      <c r="R51" s="5">
        <v>3</v>
      </c>
      <c r="S51" s="1">
        <v>2</v>
      </c>
      <c r="T51" s="1" t="s">
        <v>35</v>
      </c>
      <c r="U51" t="s">
        <v>110</v>
      </c>
      <c r="V51" s="1">
        <v>228</v>
      </c>
      <c r="W51" s="1">
        <v>160</v>
      </c>
      <c r="X51" s="8">
        <v>1.425</v>
      </c>
      <c r="Y51" s="5">
        <v>3</v>
      </c>
      <c r="Z51" s="1">
        <v>4</v>
      </c>
      <c r="AA51" s="1">
        <f t="shared" si="0"/>
        <v>12</v>
      </c>
      <c r="AB51" s="1">
        <v>900</v>
      </c>
      <c r="AC51" s="1">
        <f t="shared" si="1"/>
        <v>10800</v>
      </c>
    </row>
    <row r="52" spans="1:29">
      <c r="A52" s="1" t="s">
        <v>201</v>
      </c>
      <c r="B52" t="s">
        <v>144</v>
      </c>
      <c r="C52" s="1" t="s">
        <v>90</v>
      </c>
      <c r="D52" t="s">
        <v>91</v>
      </c>
      <c r="E52" s="1" t="s">
        <v>33</v>
      </c>
      <c r="F52" s="1" t="s">
        <v>34</v>
      </c>
      <c r="G52" s="1">
        <v>0.18</v>
      </c>
      <c r="H52" s="1">
        <v>700</v>
      </c>
      <c r="I52" s="1">
        <v>23</v>
      </c>
      <c r="J52" s="1">
        <v>22</v>
      </c>
      <c r="K52" s="1">
        <v>1.2</v>
      </c>
      <c r="L52" s="1">
        <v>0</v>
      </c>
      <c r="M52" s="1"/>
      <c r="N52" s="1">
        <v>25</v>
      </c>
      <c r="O52" s="1">
        <v>0</v>
      </c>
      <c r="P52" s="1">
        <v>2</v>
      </c>
      <c r="Q52" s="1">
        <v>0</v>
      </c>
      <c r="R52" s="5">
        <v>0</v>
      </c>
      <c r="S52" s="1">
        <v>0</v>
      </c>
      <c r="T52" s="1" t="s">
        <v>35</v>
      </c>
      <c r="U52" t="s">
        <v>145</v>
      </c>
      <c r="V52" s="1">
        <v>237</v>
      </c>
      <c r="W52" s="1">
        <v>160</v>
      </c>
      <c r="X52" s="7">
        <v>1.48</v>
      </c>
      <c r="Y52" s="5">
        <v>0</v>
      </c>
      <c r="Z52" s="1">
        <v>0</v>
      </c>
      <c r="AA52" s="1">
        <f t="shared" si="0"/>
        <v>0</v>
      </c>
      <c r="AB52" s="1">
        <v>700</v>
      </c>
      <c r="AC52" s="1">
        <v>700</v>
      </c>
    </row>
    <row r="53" spans="1:29">
      <c r="A53" s="1" t="s">
        <v>202</v>
      </c>
      <c r="B53" t="s">
        <v>147</v>
      </c>
      <c r="C53" s="1" t="s">
        <v>99</v>
      </c>
      <c r="D53" t="s">
        <v>100</v>
      </c>
      <c r="E53" s="1" t="s">
        <v>33</v>
      </c>
      <c r="F53" s="1" t="s">
        <v>34</v>
      </c>
      <c r="G53" s="1">
        <v>0.24</v>
      </c>
      <c r="H53" s="1">
        <v>500</v>
      </c>
      <c r="I53" s="1">
        <v>22</v>
      </c>
      <c r="J53" s="1">
        <v>22</v>
      </c>
      <c r="K53" s="1">
        <v>1</v>
      </c>
      <c r="L53" s="1">
        <v>0</v>
      </c>
      <c r="M53" s="1"/>
      <c r="N53" s="1">
        <v>25</v>
      </c>
      <c r="O53" s="1">
        <v>0</v>
      </c>
      <c r="P53" s="1">
        <v>0</v>
      </c>
      <c r="Q53" s="1">
        <v>0</v>
      </c>
      <c r="R53" s="5">
        <v>0</v>
      </c>
      <c r="S53" s="1">
        <v>0</v>
      </c>
      <c r="T53" s="1" t="s">
        <v>35</v>
      </c>
      <c r="U53" s="1" t="s">
        <v>203</v>
      </c>
      <c r="V53" s="1" t="s">
        <v>204</v>
      </c>
      <c r="W53" s="1" t="s">
        <v>204</v>
      </c>
      <c r="X53" s="9">
        <v>1.6</v>
      </c>
      <c r="Y53" s="5">
        <v>0</v>
      </c>
      <c r="Z53" s="1">
        <v>0</v>
      </c>
      <c r="AA53" s="1">
        <f t="shared" si="0"/>
        <v>0</v>
      </c>
      <c r="AB53" s="1">
        <v>500</v>
      </c>
      <c r="AC53" s="1">
        <v>500</v>
      </c>
    </row>
    <row r="54" spans="1:29">
      <c r="A54" s="1" t="s">
        <v>205</v>
      </c>
      <c r="B54" t="s">
        <v>149</v>
      </c>
      <c r="C54" s="1" t="s">
        <v>121</v>
      </c>
      <c r="D54" t="s">
        <v>122</v>
      </c>
      <c r="E54" s="1" t="s">
        <v>33</v>
      </c>
      <c r="F54" s="1" t="s">
        <v>34</v>
      </c>
      <c r="G54" s="1">
        <v>0.28999999999999998</v>
      </c>
      <c r="H54" s="1">
        <v>700</v>
      </c>
      <c r="I54" s="1">
        <v>24</v>
      </c>
      <c r="J54" s="1">
        <v>24</v>
      </c>
      <c r="K54" s="1">
        <v>1.2</v>
      </c>
      <c r="L54" s="1">
        <v>0</v>
      </c>
      <c r="M54" s="1"/>
      <c r="N54" s="1">
        <v>28</v>
      </c>
      <c r="O54" s="1">
        <v>0</v>
      </c>
      <c r="P54" s="1">
        <v>0</v>
      </c>
      <c r="Q54" s="1">
        <v>0</v>
      </c>
      <c r="R54" s="5">
        <v>0</v>
      </c>
      <c r="S54" s="1">
        <v>0</v>
      </c>
      <c r="T54" s="1" t="s">
        <v>35</v>
      </c>
      <c r="U54" t="s">
        <v>206</v>
      </c>
      <c r="V54" s="1">
        <v>0</v>
      </c>
      <c r="W54" s="1">
        <v>0</v>
      </c>
      <c r="X54" s="8">
        <v>1.05</v>
      </c>
      <c r="Y54" s="5">
        <v>0</v>
      </c>
      <c r="Z54" s="1">
        <v>0</v>
      </c>
      <c r="AA54" s="1">
        <v>0</v>
      </c>
      <c r="AB54" s="1">
        <v>700</v>
      </c>
      <c r="AC54" s="1">
        <v>700</v>
      </c>
    </row>
    <row r="55" spans="1:29">
      <c r="A55" s="1" t="s">
        <v>207</v>
      </c>
      <c r="B55" t="s">
        <v>151</v>
      </c>
      <c r="C55" s="1" t="s">
        <v>108</v>
      </c>
      <c r="D55" t="s">
        <v>109</v>
      </c>
      <c r="E55" s="1" t="s">
        <v>33</v>
      </c>
      <c r="F55" s="1" t="s">
        <v>34</v>
      </c>
      <c r="G55" s="1">
        <v>0.22</v>
      </c>
      <c r="H55" s="1">
        <v>890</v>
      </c>
      <c r="I55" s="1">
        <v>20</v>
      </c>
      <c r="J55" s="1">
        <v>20</v>
      </c>
      <c r="K55" s="1">
        <v>1</v>
      </c>
      <c r="L55" s="1">
        <v>0</v>
      </c>
      <c r="M55" s="1"/>
      <c r="N55" s="1">
        <v>25</v>
      </c>
      <c r="O55" s="1">
        <v>0</v>
      </c>
      <c r="P55" s="1">
        <v>0</v>
      </c>
      <c r="Q55" s="1">
        <v>0</v>
      </c>
      <c r="R55" s="5">
        <v>0</v>
      </c>
      <c r="S55" s="1">
        <v>2</v>
      </c>
      <c r="T55" s="1" t="s">
        <v>42</v>
      </c>
      <c r="U55" s="1" t="s">
        <v>204</v>
      </c>
      <c r="V55" s="1" t="s">
        <v>204</v>
      </c>
      <c r="W55" s="1" t="s">
        <v>204</v>
      </c>
      <c r="X55" s="8">
        <v>1.425</v>
      </c>
      <c r="Y55" s="5">
        <v>0</v>
      </c>
      <c r="Z55" s="1">
        <v>0</v>
      </c>
      <c r="AA55" s="1">
        <f t="shared" si="0"/>
        <v>0</v>
      </c>
      <c r="AB55" s="1">
        <v>890</v>
      </c>
      <c r="AC55" s="1">
        <v>890</v>
      </c>
    </row>
    <row r="56" spans="1:29">
      <c r="A56" s="1" t="s">
        <v>208</v>
      </c>
      <c r="B56" t="s">
        <v>153</v>
      </c>
      <c r="C56" s="1" t="s">
        <v>31</v>
      </c>
      <c r="D56" s="1" t="s">
        <v>32</v>
      </c>
      <c r="E56" s="1" t="s">
        <v>33</v>
      </c>
      <c r="F56" s="1" t="s">
        <v>34</v>
      </c>
      <c r="G56" s="1">
        <v>0.18</v>
      </c>
      <c r="H56" s="1">
        <v>990</v>
      </c>
      <c r="I56" s="1">
        <v>22</v>
      </c>
      <c r="J56" s="1">
        <v>18</v>
      </c>
      <c r="K56" s="1">
        <v>1.1000000000000001</v>
      </c>
      <c r="L56" s="1">
        <v>0</v>
      </c>
      <c r="M56" s="1"/>
      <c r="N56" s="1">
        <v>28</v>
      </c>
      <c r="O56" s="1">
        <v>0</v>
      </c>
      <c r="P56" s="1">
        <v>0</v>
      </c>
      <c r="Q56" s="1">
        <v>0</v>
      </c>
      <c r="R56" s="5">
        <v>0</v>
      </c>
      <c r="S56" s="1">
        <v>0</v>
      </c>
      <c r="T56" s="1" t="s">
        <v>42</v>
      </c>
      <c r="U56" s="1" t="s">
        <v>154</v>
      </c>
      <c r="V56" s="1" t="s">
        <v>204</v>
      </c>
      <c r="W56" s="1" t="s">
        <v>204</v>
      </c>
      <c r="X56" s="2">
        <v>0.52329999999999999</v>
      </c>
      <c r="Y56" s="5">
        <v>0</v>
      </c>
      <c r="Z56" s="1">
        <v>0</v>
      </c>
      <c r="AA56" s="1">
        <v>0</v>
      </c>
      <c r="AB56" s="1">
        <v>990</v>
      </c>
      <c r="AC56" s="1">
        <v>990</v>
      </c>
    </row>
    <row r="57" spans="1:2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5"/>
      <c r="S57" s="1"/>
      <c r="T57" s="1"/>
      <c r="U57" s="1"/>
      <c r="V57" s="1"/>
      <c r="W57" s="1"/>
    </row>
    <row r="58" spans="1:2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5"/>
      <c r="S58" s="1"/>
      <c r="T58" s="1"/>
      <c r="U58" s="1"/>
      <c r="V58" s="1"/>
      <c r="W58" s="1"/>
    </row>
    <row r="59" spans="1:29">
      <c r="A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5"/>
      <c r="S59" s="1"/>
      <c r="T59" s="1"/>
      <c r="U59" s="1"/>
      <c r="V59" s="1"/>
      <c r="W59" s="1"/>
    </row>
    <row r="60" spans="1:29" ht="58">
      <c r="AB60" s="12" t="s">
        <v>209</v>
      </c>
      <c r="AC60" s="13">
        <v>346990</v>
      </c>
    </row>
    <row r="62" spans="1:29">
      <c r="B62" s="1"/>
    </row>
    <row r="68" spans="2:3">
      <c r="B68" s="1"/>
      <c r="C68" s="1"/>
    </row>
  </sheetData>
  <dataValidations count="1">
    <dataValidation type="list" sqref="T20:T56 V11 V56:W56 V36:V49 V22 U55:W55 U33 U37:U47 U53:W53 V31:V33 V24:V28 V52" xr:uid="{CB878336-70AE-4F2D-8F73-1569E1716B61}">
      <formula1>"Low,Medium,High"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Rana</dc:creator>
  <cp:lastModifiedBy>Rohit Rana</cp:lastModifiedBy>
  <dcterms:created xsi:type="dcterms:W3CDTF">2026-07-24T05:10:50Z</dcterms:created>
  <dcterms:modified xsi:type="dcterms:W3CDTF">2026-07-24T05:13:43Z</dcterms:modified>
</cp:coreProperties>
</file>